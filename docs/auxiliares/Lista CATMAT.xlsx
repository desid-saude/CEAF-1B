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/>
  <mc:AlternateContent xmlns:mc="http://schemas.openxmlformats.org/markup-compatibility/2006">
    <mc:Choice Requires="x15">
      <x15ac:absPath xmlns:x15ac="http://schemas.microsoft.com/office/spreadsheetml/2010/11/ac" url="C:\Users\wendell.silva\Desktop\"/>
    </mc:Choice>
  </mc:AlternateContent>
  <xr:revisionPtr revIDLastSave="0" documentId="8_{CFF2B460-D057-4231-901C-BD5785B32A83}" xr6:coauthVersionLast="47" xr6:coauthVersionMax="47" xr10:uidLastSave="{00000000-0000-0000-0000-000000000000}"/>
  <bookViews>
    <workbookView xWindow="0" yWindow="0" windowWidth="28800" windowHeight="12180" xr2:uid="{00000000-000D-0000-FFFF-FFFF00000000}"/>
  </bookViews>
  <sheets>
    <sheet name="CBAF" sheetId="3" r:id="rId1"/>
    <sheet name="1A" sheetId="2" r:id="rId2"/>
    <sheet name="1B" sheetId="1" r:id="rId3"/>
  </sheets>
  <definedNames>
    <definedName name="_xlnm._FilterDatabase" localSheetId="1" hidden="1">'1A'!$A$5:$Q$5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2" l="1"/>
  <c r="K1" i="2"/>
  <c r="K4" i="2" s="1"/>
  <c r="J1" i="2"/>
  <c r="J4" i="2" s="1"/>
  <c r="D1" i="2"/>
  <c r="L4" i="2" l="1"/>
</calcChain>
</file>

<file path=xl/sharedStrings.xml><?xml version="1.0" encoding="utf-8"?>
<sst xmlns="http://schemas.openxmlformats.org/spreadsheetml/2006/main" count="4737" uniqueCount="958">
  <si>
    <t>Medicamentos/insumos de aquisição centralizada – CGAFB/DAF</t>
  </si>
  <si>
    <t>Medicamento/Insumos</t>
  </si>
  <si>
    <t>CATMAT</t>
  </si>
  <si>
    <t>Programa</t>
  </si>
  <si>
    <t>Insulina Humana NPH - frasco 10 ml</t>
  </si>
  <si>
    <t>Diabetes</t>
  </si>
  <si>
    <t>Insulina Humana Regular - frasco 10 ml</t>
  </si>
  <si>
    <t>Insulina Humana NPH - tubete 3 ml</t>
  </si>
  <si>
    <t>Insulina Humana Regular - tubete 3 ml</t>
  </si>
  <si>
    <t>Insulina Análoga de Ação Prolongada 100 UI/ML</t>
  </si>
  <si>
    <t>Insulina Análoga de Ação Rápida 100 UI/ML</t>
  </si>
  <si>
    <t>Agulha para caneta de insulina</t>
  </si>
  <si>
    <t>Clindamicina 300 mg</t>
  </si>
  <si>
    <t>Hidradenite</t>
  </si>
  <si>
    <t>Enantato de noretisterona + valerato de estradiol (50 + 5) mg/mL, solução injetável (injetável mensal)</t>
  </si>
  <si>
    <t>Saúde da Mulher</t>
  </si>
  <si>
    <t>Levonorgestrel 0,75mg, blister com 2 comprimidos (pílula de emergência)</t>
  </si>
  <si>
    <t>Noretisterona 0,35mg, blister com 35 comprimidos (minipílula)</t>
  </si>
  <si>
    <t xml:space="preserve">Acetato de medroxiprogesterona 150 mg/mL, suspensão injetável (injetável trimestral) </t>
  </si>
  <si>
    <t>Etinilestradiol + levonorgestrel (0,03 + 0,15)mg, blister com 21 comprimidos (pílula combinada)</t>
  </si>
  <si>
    <t>Misoprostol 25 mcg, comprimido vaginal</t>
  </si>
  <si>
    <t>Misoprostol 200 mcg, comprimido vaginal</t>
  </si>
  <si>
    <t>Dispositivo intrauterino plástico com cobre (DIU)</t>
  </si>
  <si>
    <t>Algestona acetofenida, associado com estradiol enantato, 150 mg + 10 mg/mL, solução injetável</t>
  </si>
  <si>
    <t>Medroxiprogesterona acetato associada ao estradiol cipionato, 50 mg + 10 mg/mL, ampola 0,5 mL, suspensão injetável</t>
  </si>
  <si>
    <t>Diafragmas 65 mm</t>
  </si>
  <si>
    <t>Diafragmas 70 mm</t>
  </si>
  <si>
    <t>Diafragmas 75 mm</t>
  </si>
  <si>
    <t>Diafragmas 80 mm</t>
  </si>
  <si>
    <t>Anéis medidores</t>
  </si>
  <si>
    <t xml:space="preserve">Implante Subdérmico de Etonogestrel </t>
  </si>
  <si>
    <t>Acido Acetilsalicílico comprimido 100mg</t>
  </si>
  <si>
    <t>Calamidade</t>
  </si>
  <si>
    <t>Albendazol comprimido mastigável 400mg</t>
  </si>
  <si>
    <t>Amoxicilina + ácido clavulâmico (50mg + 12,5mg), suspensão oral, Frasco 75mL</t>
  </si>
  <si>
    <t>Amoxicilina cápsula 500 mg</t>
  </si>
  <si>
    <t>Amoxicilina pó para suspensão oral 50mg/ml, frasco 60ml</t>
  </si>
  <si>
    <t>Beclometasona, Dipropionato Spray Oral 250mcg/Dose frasco doseador</t>
  </si>
  <si>
    <t>Benzilpenicilina Procaína + Potássica suspensão injetável 300.000+100.000 UI</t>
  </si>
  <si>
    <t>Captopril comprimido 25 mg</t>
  </si>
  <si>
    <t>Cloreto de sódio solução injetável 0,9 % (0,154mEq/mL) fr 10mL</t>
  </si>
  <si>
    <t>Cloreto de sódio solução injetável 0,9 % (0,154mEq/mL) fr 250mL</t>
  </si>
  <si>
    <t>Cloreto de sódio solução injetável 0,9 % (0,154mEq/mL) fr 500ml</t>
  </si>
  <si>
    <t>Cloridrato de metoclopramida comprimido 10mg</t>
  </si>
  <si>
    <t>Cloridrato de propranolol comprimido 40 mg</t>
  </si>
  <si>
    <t>Dexametasona creme 0,1%</t>
  </si>
  <si>
    <t>Glibenclamida comprimido 5 mg</t>
  </si>
  <si>
    <t>Glicose solução injetável 50 mg/mL (5%) frasco 500mL</t>
  </si>
  <si>
    <t>Hidroclorotiazida comprimido 25 mg</t>
  </si>
  <si>
    <t>Ibuprofeno comprimido 600mg</t>
  </si>
  <si>
    <t>Maleato de Enalapril, comprimido 10mg</t>
  </si>
  <si>
    <t>Metformina comprimido 850mg</t>
  </si>
  <si>
    <t>Metronidazol comprimido 250 mg</t>
  </si>
  <si>
    <t>Omeprazol, 20mg</t>
  </si>
  <si>
    <t>Paracetamol comprimido 500 mg</t>
  </si>
  <si>
    <t>Paracetamol solução oral 200 mg/ml Frasco 10 ml</t>
  </si>
  <si>
    <t>Permetrina loção 5%</t>
  </si>
  <si>
    <t>Sais para reidratação oral, 27,9g – envelope p/ 1 Litro.</t>
  </si>
  <si>
    <t>Solução Ringer + lactato solução injetável</t>
  </si>
  <si>
    <t>Sulfametoxazol + trimetoprima susp oral (40 mg + 8 mg)/mL Fr 100 mL</t>
  </si>
  <si>
    <t>Sulfametoxazol + trimetoprima comprimido 400 mg + 80 mg</t>
  </si>
  <si>
    <t>Sulfato de salbutamol aerossol 100 mg/dose</t>
  </si>
  <si>
    <t>Atadura de crepom 15 cm</t>
  </si>
  <si>
    <t>Atadura de crepom 30 cm</t>
  </si>
  <si>
    <t>Cateter de punção intravenosa 18</t>
  </si>
  <si>
    <t>Cateter de punção intravenosa 20</t>
  </si>
  <si>
    <t>Cateter de punção intravenosa 24</t>
  </si>
  <si>
    <t>Compressa de gaze 7,5 x 7,5</t>
  </si>
  <si>
    <t>Equipo para soro Macrogotas</t>
  </si>
  <si>
    <t>Equipo para soro Microgotas</t>
  </si>
  <si>
    <t>Esparadrapo 100 mm x 4,5 m</t>
  </si>
  <si>
    <t>Luva para procedimento tamanho grande</t>
  </si>
  <si>
    <t>Luva para procedimento tamanho médio</t>
  </si>
  <si>
    <t>Luva para procedimento tamanho pequeno</t>
  </si>
  <si>
    <t>Máscara descartável</t>
  </si>
  <si>
    <t>Seringa descartável com agulha 25 x 7 - 10 ml</t>
  </si>
  <si>
    <t>Seringa descartável com agulha 25 x 7 - 5 ml</t>
  </si>
  <si>
    <t>Bas</t>
  </si>
  <si>
    <t>Esp</t>
  </si>
  <si>
    <t>Denominação Comum Brasileira (DCB)</t>
  </si>
  <si>
    <t>Concentração/
Composição</t>
  </si>
  <si>
    <t>Forma
 farmacêutica</t>
  </si>
  <si>
    <t>Componente</t>
  </si>
  <si>
    <t>Código ATC</t>
  </si>
  <si>
    <t>ATC</t>
  </si>
  <si>
    <t>Básico</t>
  </si>
  <si>
    <t>especializado</t>
  </si>
  <si>
    <t>Tds</t>
  </si>
  <si>
    <t>GRUPO</t>
  </si>
  <si>
    <t>Catmat</t>
  </si>
  <si>
    <t>Descrição</t>
  </si>
  <si>
    <t>U.F.</t>
  </si>
  <si>
    <t>abatacepte</t>
  </si>
  <si>
    <t>125 mg/mL</t>
  </si>
  <si>
    <t>solução injetável</t>
  </si>
  <si>
    <t>Especializado</t>
  </si>
  <si>
    <t>L04AA24</t>
  </si>
  <si>
    <t>L</t>
  </si>
  <si>
    <t>1A</t>
  </si>
  <si>
    <t>Abatacepte, 125 mg/mL, Solução Injetável, Seringa Preenchida</t>
  </si>
  <si>
    <t>Seringa</t>
  </si>
  <si>
    <t>250 mg</t>
  </si>
  <si>
    <t>pó para solução para infusão</t>
  </si>
  <si>
    <t>Abatacepte, 250 mg, Pó Liófilo p/ Injetável, c/ Seringa Descartável</t>
  </si>
  <si>
    <t>Frasco-Ampola</t>
  </si>
  <si>
    <t>acetato de desmopressina</t>
  </si>
  <si>
    <t>0,1 mg</t>
  </si>
  <si>
    <t>comprimido</t>
  </si>
  <si>
    <t>H01BA02</t>
  </si>
  <si>
    <t>H</t>
  </si>
  <si>
    <t>Desmopressina Acetato, 0,1 mg</t>
  </si>
  <si>
    <t>Comprimido</t>
  </si>
  <si>
    <t>0,1 mg/mL</t>
  </si>
  <si>
    <t>solução spray nasal</t>
  </si>
  <si>
    <t>Desmopressina Acetato, 0,1 mg/mL, Solução Nasal</t>
  </si>
  <si>
    <t>Frasco 2,50 mL</t>
  </si>
  <si>
    <t>Frasco 5,00 mL</t>
  </si>
  <si>
    <t>0,2 mg</t>
  </si>
  <si>
    <t>Desmopressina Acetato, 0,2 mg</t>
  </si>
  <si>
    <t>acetato de glatirâmer</t>
  </si>
  <si>
    <t>20 mg</t>
  </si>
  <si>
    <t>L03AX13</t>
  </si>
  <si>
    <t>Glatirâmer, Acetato, 20 mg/mL, Solução Injetável, Seringa Preenchida</t>
  </si>
  <si>
    <t>Seringa 1,00 mL</t>
  </si>
  <si>
    <t>40 mg</t>
  </si>
  <si>
    <t>Glatirâmer, Acetato, 40 mg/mL, Solução Injetável, Seringa Preenchida</t>
  </si>
  <si>
    <t>acetato de lanreotida</t>
  </si>
  <si>
    <t>120 mg</t>
  </si>
  <si>
    <t>solução injetável de liberação prolongada</t>
  </si>
  <si>
    <t>H01CB03</t>
  </si>
  <si>
    <t>Lanreotida Acetato, 120 mg/mL, Solução Injetável, Liberação Prolongada</t>
  </si>
  <si>
    <t>Seringa 0,50 mL</t>
  </si>
  <si>
    <t>60 mg</t>
  </si>
  <si>
    <t>Lanreotida Acetato, 180 MG/ML, Solução Injetável,Liberação Prolongada</t>
  </si>
  <si>
    <t>Seringa 0,30 ml</t>
  </si>
  <si>
    <t>90 mg</t>
  </si>
  <si>
    <t>acetato de octreotida</t>
  </si>
  <si>
    <t>pó para suspensão injetável</t>
  </si>
  <si>
    <t>H01CB02</t>
  </si>
  <si>
    <t>Octreotida, Sal Acetato, 20 mg, Pó Liófilo p/ Injetável, c/ Sistema de Aplicação</t>
  </si>
  <si>
    <t>30 mg</t>
  </si>
  <si>
    <t>Octreotida, Sal Acetato, 30 mg, Pó Liófilo p/ Injetável, c/ Sistema de Aplicação</t>
  </si>
  <si>
    <t>adalimumabe</t>
  </si>
  <si>
    <t>L04AB04</t>
  </si>
  <si>
    <t>Adalimumabe, 40 mg, Solução Injetável</t>
  </si>
  <si>
    <t>Seringa 0,40 mL</t>
  </si>
  <si>
    <t>Seringa 0,80 mL</t>
  </si>
  <si>
    <t>alentuzumabe</t>
  </si>
  <si>
    <t>10 mg/mL</t>
  </si>
  <si>
    <t>solução para diluição para infusão</t>
  </si>
  <si>
    <t>L04AG06</t>
  </si>
  <si>
    <t>Alentuzumabe, 10 mg/mL, Solução Injetável</t>
  </si>
  <si>
    <t>alfa-agalsidase</t>
  </si>
  <si>
    <t>1 mg/mL</t>
  </si>
  <si>
    <t>A16AB03</t>
  </si>
  <si>
    <t>A</t>
  </si>
  <si>
    <t>C08CA01</t>
  </si>
  <si>
    <t>Beta-Agalsidase, 35 MG, Pó Liófilo P/ Injetável</t>
  </si>
  <si>
    <t>alfa-alglicosidade</t>
  </si>
  <si>
    <t>50 mg</t>
  </si>
  <si>
    <t>pó para solução injetável</t>
  </si>
  <si>
    <t>A16AB07</t>
  </si>
  <si>
    <t>Alfa-Alglicosidase, 50 mg, Pó Liófilo p/ Injetável</t>
  </si>
  <si>
    <t>alfacerliponase</t>
  </si>
  <si>
    <t>30 mg/mL</t>
  </si>
  <si>
    <t>solução para infusão</t>
  </si>
  <si>
    <t>A16AB17</t>
  </si>
  <si>
    <t>N07XX08</t>
  </si>
  <si>
    <t>Brimonidina Tartarato, 2 mg/mL, Colírio</t>
  </si>
  <si>
    <t>Frasco 10,00 mL</t>
  </si>
  <si>
    <t>alfadornase</t>
  </si>
  <si>
    <t>solução inalatória</t>
  </si>
  <si>
    <t>R05CB13</t>
  </si>
  <si>
    <t>R</t>
  </si>
  <si>
    <t>Alfadornase, 1 mg/mL, Solução para Inalação</t>
  </si>
  <si>
    <t>Ampola 2,50 mL</t>
  </si>
  <si>
    <t>alfaelosulfase</t>
  </si>
  <si>
    <t>5 mg</t>
  </si>
  <si>
    <t>A16AB12</t>
  </si>
  <si>
    <t>Elosulfase Alfa, 1 MG/ML, Solução Injetável</t>
  </si>
  <si>
    <t>alfaepoetina</t>
  </si>
  <si>
    <t>1.000 UI</t>
  </si>
  <si>
    <t>B03XA01</t>
  </si>
  <si>
    <t>B</t>
  </si>
  <si>
    <t>Alfaepoetina, 1.000 UI, Injetável</t>
  </si>
  <si>
    <t>Ampola 1,00 mL</t>
  </si>
  <si>
    <t>Frasco 1,00 mL</t>
  </si>
  <si>
    <t>Alfaepoetina, 1.000 UI/mL, Solução Injetável</t>
  </si>
  <si>
    <t>Frasco 2,00 mL</t>
  </si>
  <si>
    <t>10.000 UI</t>
  </si>
  <si>
    <t>Alfaepoetina, 10.000 UI, Injetável</t>
  </si>
  <si>
    <t>Alfaepoetina, 10.000 UI/mL, Solução Injetável</t>
  </si>
  <si>
    <t>2.000 UI</t>
  </si>
  <si>
    <t>Alfaepoetina, 2.000 UI, Injetável</t>
  </si>
  <si>
    <t>Alfaepoetina, 2.000 UI/mL, Solução Injetável</t>
  </si>
  <si>
    <t>3.000 UI</t>
  </si>
  <si>
    <t>Alfaepoetina, 3.000 UI, Injetável</t>
  </si>
  <si>
    <t>Alfaepoetina, Solução Injetável, 3.000 UI</t>
  </si>
  <si>
    <t>4.000 UI</t>
  </si>
  <si>
    <t>Alfaepoetina, 4.000 UI, Injetável</t>
  </si>
  <si>
    <t>Alfaepoetina, 4.000 UI/mL, Solução Injetável</t>
  </si>
  <si>
    <t>alfataliglicerase</t>
  </si>
  <si>
    <t>200 U</t>
  </si>
  <si>
    <t>A16AB11</t>
  </si>
  <si>
    <t>Alfataliglicerase, 200 UI, Pó Liófilo p/ Injetável</t>
  </si>
  <si>
    <t>alfavelaglicerase</t>
  </si>
  <si>
    <t>400 U</t>
  </si>
  <si>
    <t>A16AB10</t>
  </si>
  <si>
    <t>Alfavelaglicerase, 400 U, Pó Liófilo p/ Injetável</t>
  </si>
  <si>
    <t>alfavestronidase</t>
  </si>
  <si>
    <t>2 mg/mL</t>
  </si>
  <si>
    <t>A16AB18</t>
  </si>
  <si>
    <t>Alfavestronidase, 2 mg/mL, Solução Injetável</t>
  </si>
  <si>
    <t>baricitinibe</t>
  </si>
  <si>
    <t>2 mg</t>
  </si>
  <si>
    <t>L04AF02</t>
  </si>
  <si>
    <t>Baricitinibe, 2 mg</t>
  </si>
  <si>
    <t>4 mg</t>
  </si>
  <si>
    <t>Baricitinibe, 4 mg</t>
  </si>
  <si>
    <t>beta-agalsidase</t>
  </si>
  <si>
    <t>35 mg</t>
  </si>
  <si>
    <t>A16AB04</t>
  </si>
  <si>
    <t>J04AK08</t>
  </si>
  <si>
    <t>Clobetasol, Sal Propionato, 0,05%, Solução Capilar</t>
  </si>
  <si>
    <t>betainterferona 1a</t>
  </si>
  <si>
    <t>22 mcg (6.000.000 UI)</t>
  </si>
  <si>
    <t>L03AB07</t>
  </si>
  <si>
    <t>Interferona, Beta 1a, 44 MCG/ML, Solução Injetável, Seringa Preenchida</t>
  </si>
  <si>
    <t>30 mcg (6.000.000 UI)</t>
  </si>
  <si>
    <t>Interferona, Beta 1a, 30 MCG, Pó Liófilo P/ Injetável, C/ Sistema De Aplicação</t>
  </si>
  <si>
    <t>44 mcg (12.000.000 UI)</t>
  </si>
  <si>
    <t>Interferona, Beta 1A, 44 mcg/mL, Solução Injetável, Seringa Preenchida</t>
  </si>
  <si>
    <t>betainterferona 1b</t>
  </si>
  <si>
    <t>300 mcg (9.600.000 UI)</t>
  </si>
  <si>
    <t>L03AB08</t>
  </si>
  <si>
    <t>Interferona, Beta 1B, 9.600.000 UI, Pó Liófilo p/ Injetável, c/ Sistema de Aplicação</t>
  </si>
  <si>
    <t>bimatoprosta</t>
  </si>
  <si>
    <t>0,3 mg/mL (0,03%)</t>
  </si>
  <si>
    <t>solução oftálmica</t>
  </si>
  <si>
    <t>S01EE03</t>
  </si>
  <si>
    <t>S</t>
  </si>
  <si>
    <t>Bimatoprosta, 0,3 mg/mL, Solução Oftálmica</t>
  </si>
  <si>
    <t>Frasco 3,00 mL</t>
  </si>
  <si>
    <t>Frasco 7,50 mL</t>
  </si>
  <si>
    <t>biotina</t>
  </si>
  <si>
    <t>2,5 mg</t>
  </si>
  <si>
    <t>cápsula</t>
  </si>
  <si>
    <t>A11HA05</t>
  </si>
  <si>
    <t>Biotina, 2,5 mg</t>
  </si>
  <si>
    <t>Cápsula</t>
  </si>
  <si>
    <t>bromidrato de galantamina</t>
  </si>
  <si>
    <t>16 mg</t>
  </si>
  <si>
    <t>cápsula de liberação prolongada</t>
  </si>
  <si>
    <t>N06DA04</t>
  </si>
  <si>
    <t>N</t>
  </si>
  <si>
    <t>Galantamina, 16 mg, Liberação Prolongada</t>
  </si>
  <si>
    <t>24 mg</t>
  </si>
  <si>
    <t>Galantamina, 24 mg, Liberação Prolongada</t>
  </si>
  <si>
    <t>8 mg</t>
  </si>
  <si>
    <t>Galantamina, 8 mg, Liberação Prolongada</t>
  </si>
  <si>
    <t>burosumabe</t>
  </si>
  <si>
    <t>M05BX05</t>
  </si>
  <si>
    <t>M</t>
  </si>
  <si>
    <t>Burosumabe, 10 mg/mL, Solução Injetável</t>
  </si>
  <si>
    <t>20 mg/mL</t>
  </si>
  <si>
    <t>Burosumabe, 20 mg/mL, Solução Injetável</t>
  </si>
  <si>
    <t>Burosumabe, 30 mg/mL, Solução Injetável</t>
  </si>
  <si>
    <t>cabergolina</t>
  </si>
  <si>
    <t>0,5 mg</t>
  </si>
  <si>
    <t>G02CB03; N04BC06</t>
  </si>
  <si>
    <t>G</t>
  </si>
  <si>
    <t>Cabergolina, 0,5 mg</t>
  </si>
  <si>
    <t>certolizumabe pegol</t>
  </si>
  <si>
    <t>200 mg</t>
  </si>
  <si>
    <t>L04AB05</t>
  </si>
  <si>
    <t>Certolizumabe Pegol, 200 MG, Solução Injetável, Seringa Preenchida, Com Lenço Umidecido</t>
  </si>
  <si>
    <t>citrato de sildenafila</t>
  </si>
  <si>
    <t>G04BE03</t>
  </si>
  <si>
    <t>Sildenafila, Sal Citrato, 20 mg</t>
  </si>
  <si>
    <t>25 mg</t>
  </si>
  <si>
    <t>Sildenafila, Sal Citrato, 25 mg</t>
  </si>
  <si>
    <t>Sildenafila, Sal Citrato, 50 mg</t>
  </si>
  <si>
    <t>cladribina</t>
  </si>
  <si>
    <t>10 mg</t>
  </si>
  <si>
    <t>L04AA40</t>
  </si>
  <si>
    <t>B02BD04</t>
  </si>
  <si>
    <t>Concentrado de Fator de Coagulação, Fator IX, Pó Liófilo p/ Injetável</t>
  </si>
  <si>
    <t>Unidade Internacional</t>
  </si>
  <si>
    <t>cloridrato de cinacalcete</t>
  </si>
  <si>
    <t>H05BX01</t>
  </si>
  <si>
    <t>Cinacalcete, 30 mg</t>
  </si>
  <si>
    <t>Cinacalcete, 60 mg</t>
  </si>
  <si>
    <t>cloridrato de donepezila</t>
  </si>
  <si>
    <t>N06DA02</t>
  </si>
  <si>
    <t>Donepezila, 10 mg</t>
  </si>
  <si>
    <t>Donepezila, 5 mg</t>
  </si>
  <si>
    <t>cloridrato de fingolimode</t>
  </si>
  <si>
    <t>L04AE01</t>
  </si>
  <si>
    <t>A16AX12</t>
  </si>
  <si>
    <t>Elexacaftor, Associado Ao Tezacaftor E Ivacaftor, 100 Mg + 50 Mg + 75 Mg E 150 MG, Comprimido A + B</t>
  </si>
  <si>
    <t>cloridrato de memantina</t>
  </si>
  <si>
    <t>N06DX01</t>
  </si>
  <si>
    <t>B05XA03</t>
  </si>
  <si>
    <t>Fingolimode Cloridrato, 0,5 mg</t>
  </si>
  <si>
    <t>cloridrato de sevelâmer</t>
  </si>
  <si>
    <t>800 mg</t>
  </si>
  <si>
    <t>V03AE02</t>
  </si>
  <si>
    <t>V</t>
  </si>
  <si>
    <t>Sevelamer, Cloridrato, 800 mg</t>
  </si>
  <si>
    <t>A06AG04</t>
  </si>
  <si>
    <t>Haloperidol, Sal Decanoato, 50 mg/ML, Solução Injetável</t>
  </si>
  <si>
    <t>cloridrato de ziprasidona</t>
  </si>
  <si>
    <t>N05AE04</t>
  </si>
  <si>
    <t>A06AD11</t>
  </si>
  <si>
    <t>Hidroxiuréia, 100 mg</t>
  </si>
  <si>
    <t>80 mg</t>
  </si>
  <si>
    <t>L01XX05</t>
  </si>
  <si>
    <t>Ibuprofeno, 600 mg</t>
  </si>
  <si>
    <t>clozapina</t>
  </si>
  <si>
    <t>100 mg</t>
  </si>
  <si>
    <t>N05AH02</t>
  </si>
  <si>
    <t>Clozapina, 100 mg</t>
  </si>
  <si>
    <t>Clozapina, 25 mg</t>
  </si>
  <si>
    <t>colistimetato de sódio</t>
  </si>
  <si>
    <t>160 mg (2.000.000 UI)</t>
  </si>
  <si>
    <t>pó para solução para infusão e inalação</t>
  </si>
  <si>
    <t>J01XB01</t>
  </si>
  <si>
    <t>J</t>
  </si>
  <si>
    <t>M01AE01</t>
  </si>
  <si>
    <t>Imunoglobulina Humana, Antitetânica, 250 UI/mL, Solução Injetável, Seringa Preenchida</t>
  </si>
  <si>
    <t>80 mg (1.000.000 UI)</t>
  </si>
  <si>
    <t>J06BB02</t>
  </si>
  <si>
    <t>Seringa 2,00 mL</t>
  </si>
  <si>
    <t>deferasirox</t>
  </si>
  <si>
    <t>125 mg</t>
  </si>
  <si>
    <t>comprimido para suspensão</t>
  </si>
  <si>
    <t>V03AC03</t>
  </si>
  <si>
    <t>Deferasirox, 125 mg, Comprimido Dispersível</t>
  </si>
  <si>
    <t>Deferasirox, 250 mg, Comprimido Dispersível</t>
  </si>
  <si>
    <t>500 mg</t>
  </si>
  <si>
    <t>Deferasirox, 500 mg, Comprimido Dispersível</t>
  </si>
  <si>
    <t>dicloridrato de pramipexol</t>
  </si>
  <si>
    <t>0,125 mg</t>
  </si>
  <si>
    <t>N04BC05</t>
  </si>
  <si>
    <t>Pramipexol, 0,125 mg</t>
  </si>
  <si>
    <t>0,25 mg</t>
  </si>
  <si>
    <t>Pramipexol, 0,25 mg</t>
  </si>
  <si>
    <t>1 mg</t>
  </si>
  <si>
    <t>Pramipexol, 1 mg</t>
  </si>
  <si>
    <t>dicloridrato de trientina</t>
  </si>
  <si>
    <t>A11HA02</t>
  </si>
  <si>
    <t>Isavuconazônio, 100 MG</t>
  </si>
  <si>
    <t>eculizumabe</t>
  </si>
  <si>
    <t>L04AJ01</t>
  </si>
  <si>
    <t>Eculizumabe, 10 mg/mL, Solução Injetável</t>
  </si>
  <si>
    <t>Frasco 30,00 mL</t>
  </si>
  <si>
    <t>elexacaftor/tezacaftor/ivacaftor + ivacaftor</t>
  </si>
  <si>
    <t>100 mg/50 mg/75 mg + 150 mg</t>
  </si>
  <si>
    <t>R07AX32</t>
  </si>
  <si>
    <t xml:space="preserve">J02AC05 </t>
  </si>
  <si>
    <t>Isavuconazônio, 200 MG, Pó Liófilo P/ Injetável</t>
  </si>
  <si>
    <t>50 mg/25 mg/37,5 mg + 75 mg</t>
  </si>
  <si>
    <t>Lidocaína Cloridrato, Associada com Epinefrina, 1% + 1:200.000, Injetável</t>
  </si>
  <si>
    <t>Frasco 20,00 mL</t>
  </si>
  <si>
    <t>enoxaparina sódica</t>
  </si>
  <si>
    <t>40 mg/0,4 mL</t>
  </si>
  <si>
    <t>B01AB05</t>
  </si>
  <si>
    <t>Enoxaparina, 100 mg/mL, Solução Injetável, Seringa Preenchida</t>
  </si>
  <si>
    <t>60 mg/0,6 mL</t>
  </si>
  <si>
    <t>Seringa 0,60 mL</t>
  </si>
  <si>
    <t>entacapona</t>
  </si>
  <si>
    <t>N04BX02</t>
  </si>
  <si>
    <t>Entacapona, 200 mg</t>
  </si>
  <si>
    <t>etanercepte</t>
  </si>
  <si>
    <t>L04AB01</t>
  </si>
  <si>
    <t>Etanercepte, 25 mg, Injetável</t>
  </si>
  <si>
    <t>Etanercepte, 50 mg/mL, Solução Injetável, Seringa Preenchida</t>
  </si>
  <si>
    <t>everolimo</t>
  </si>
  <si>
    <t>L04AH02</t>
  </si>
  <si>
    <t>Everolimo, 0,50 mg</t>
  </si>
  <si>
    <t>0,75 mg</t>
  </si>
  <si>
    <t>Everolimo, 0,75 mg</t>
  </si>
  <si>
    <t>Everolimo, 1 mg</t>
  </si>
  <si>
    <t>filgrastim</t>
  </si>
  <si>
    <t>300 mcg</t>
  </si>
  <si>
    <t>L03AA02</t>
  </si>
  <si>
    <t>Filgrastim, 300 mcg/mL, Solução Injetável</t>
  </si>
  <si>
    <t>fumarato de dimetila</t>
  </si>
  <si>
    <t>cápsula de liberação retardada</t>
  </si>
  <si>
    <t>L04AX07</t>
  </si>
  <si>
    <t>Fumarato de Dimetila, 120 mg, Liberação Controlada</t>
  </si>
  <si>
    <t>240 mg</t>
  </si>
  <si>
    <t>Fumarato de Dimetila, 240 mg, Liberação Controlada</t>
  </si>
  <si>
    <t>galsulfase</t>
  </si>
  <si>
    <t>A16AB08</t>
  </si>
  <si>
    <t>Galsulfase, 1 mg/mL, Concentrado para Perfusão Injetável</t>
  </si>
  <si>
    <t>golimumabe</t>
  </si>
  <si>
    <t>L04AB06</t>
  </si>
  <si>
    <t>Golimumabe, 50 mg, Solução Injetável, Em Seringa Preenchida,Acoplada Á Caneta Aplicadora</t>
  </si>
  <si>
    <t>Golimumabe, 50 mg, Solução Injetável, em Seringa Preenchida</t>
  </si>
  <si>
    <t>hemifumarato de quetiapina</t>
  </si>
  <si>
    <t>N05AH04</t>
  </si>
  <si>
    <t>Quetiapina, 100 mg</t>
  </si>
  <si>
    <t>Quetiapina, 200 mg</t>
  </si>
  <si>
    <t>Quetiapina, 25 mg</t>
  </si>
  <si>
    <t>300 mg</t>
  </si>
  <si>
    <t>Quetiapina, 300 mg</t>
  </si>
  <si>
    <t>idursulfase</t>
  </si>
  <si>
    <t>A16AB09</t>
  </si>
  <si>
    <t>Idursulfase, 2 mg/mL, Solução p/ Infusão Venosa</t>
  </si>
  <si>
    <t>imiglucerase</t>
  </si>
  <si>
    <t>A16AB02</t>
  </si>
  <si>
    <t>Imiglucerase, 400 UI, Pó Liófilo p/Injetável</t>
  </si>
  <si>
    <t>imunoglobulina humana</t>
  </si>
  <si>
    <t>5 g</t>
  </si>
  <si>
    <t>J06BA02</t>
  </si>
  <si>
    <t>Imunoglobulina Humana, 5 g, Injetável</t>
  </si>
  <si>
    <t>Frasco 100,00 mL</t>
  </si>
  <si>
    <t>infliximabe</t>
  </si>
  <si>
    <t>L04AB02</t>
  </si>
  <si>
    <t>Infliximabe, 100 mg, Pó Liófilo p/Injetável</t>
  </si>
  <si>
    <t>insulina análoga de ação prolongada</t>
  </si>
  <si>
    <t>100 UI/mL</t>
  </si>
  <si>
    <t>A10AE</t>
  </si>
  <si>
    <t>Insulina, Análoga de Ação Prolongada, 100 UI/mL, Solução Injetável, c/ Sistema de Aplicação</t>
  </si>
  <si>
    <t>Tubete 3,00 mL</t>
  </si>
  <si>
    <t>300 UI/mL</t>
  </si>
  <si>
    <t>Não tem</t>
  </si>
  <si>
    <t>insulina análoga de ação rápida</t>
  </si>
  <si>
    <t>A10AB</t>
  </si>
  <si>
    <t>Insulina, Análoga de Ação Rápida, 100 UI/mL, Solução Injetável, C/ Sistema De Aplicação</t>
  </si>
  <si>
    <t>ivacaftor</t>
  </si>
  <si>
    <t>150 mg</t>
  </si>
  <si>
    <t>R07AX02</t>
  </si>
  <si>
    <t>Ivacaftor, 150 mg</t>
  </si>
  <si>
    <t>laronidase</t>
  </si>
  <si>
    <t>0,58 mg/mL</t>
  </si>
  <si>
    <t>A16AB05</t>
  </si>
  <si>
    <t>Laronidase, 0,58 mg/mL, Solução Injetável</t>
  </si>
  <si>
    <t>latanoprosta</t>
  </si>
  <si>
    <t>0,05 mg/mL (0,005%)</t>
  </si>
  <si>
    <t>S01EE01</t>
  </si>
  <si>
    <t>Latanoprosta, 50 mcg/mL, Solução Oftálmica</t>
  </si>
  <si>
    <t>leflunomida</t>
  </si>
  <si>
    <t>L04AK01</t>
  </si>
  <si>
    <t>Leflunomida, 20 mg</t>
  </si>
  <si>
    <t>levetiracetam</t>
  </si>
  <si>
    <t>1.000 mg</t>
  </si>
  <si>
    <t>N03AX14</t>
  </si>
  <si>
    <t>Levetiracetam, 1 g</t>
  </si>
  <si>
    <t>100 mg/mL</t>
  </si>
  <si>
    <t>solução oral</t>
  </si>
  <si>
    <t>Levetiracetam, 100 mg/mL, Solução Oral</t>
  </si>
  <si>
    <t>Frasco 150,00 mL</t>
  </si>
  <si>
    <t>Frasco 300,00 mL</t>
  </si>
  <si>
    <t>Levetiracetam, 250 mg</t>
  </si>
  <si>
    <t>Levetiracetam, 500 mg</t>
  </si>
  <si>
    <t>750 mg</t>
  </si>
  <si>
    <t>Levetiracetam, 750 mg</t>
  </si>
  <si>
    <t>mesilato de rasagilina</t>
  </si>
  <si>
    <t>N04BD02</t>
  </si>
  <si>
    <t>D07AD01</t>
  </si>
  <si>
    <t>Ravulizumabe, 100 MG/ML, Injetável</t>
  </si>
  <si>
    <t>metotrexato</t>
  </si>
  <si>
    <t>L04AX03</t>
  </si>
  <si>
    <t>Metotrexato, 2,5 mg</t>
  </si>
  <si>
    <t>25 mg/mL</t>
  </si>
  <si>
    <t>Metotrexato, 25 mg/mL, Solução Injetável</t>
  </si>
  <si>
    <t>micofenolato de mofetila</t>
  </si>
  <si>
    <t>L04AA06</t>
  </si>
  <si>
    <t>Micofenolato, Mofetila, 500 mg</t>
  </si>
  <si>
    <t>micofenolato de sódio</t>
  </si>
  <si>
    <t>180 mg</t>
  </si>
  <si>
    <t>Micofenolato, de Sódio, 180 mg</t>
  </si>
  <si>
    <t>360 mg</t>
  </si>
  <si>
    <t>Micofenolato, de Sódio, 360 mg</t>
  </si>
  <si>
    <t>miglustate</t>
  </si>
  <si>
    <t>A16AX06</t>
  </si>
  <si>
    <t>Miglustate, 100 mg</t>
  </si>
  <si>
    <t>natalizumabe</t>
  </si>
  <si>
    <t>L04AG03</t>
  </si>
  <si>
    <t>Natalizumabe, 20 mg/mL, Solução Injetável</t>
  </si>
  <si>
    <t>Frasco 15,00 mL</t>
  </si>
  <si>
    <t>nusinersena</t>
  </si>
  <si>
    <t>2,4 mg/mL</t>
  </si>
  <si>
    <t>M09AX07</t>
  </si>
  <si>
    <t>Nusinersena, 2,4 mg/mL, Solução Injetável</t>
  </si>
  <si>
    <t>olanzapina</t>
  </si>
  <si>
    <t>N05AH03</t>
  </si>
  <si>
    <t>Olanzapina, 10 mg</t>
  </si>
  <si>
    <t>Olanzapina, 5 mg</t>
  </si>
  <si>
    <t>onasemnogeno abeparvoveque</t>
  </si>
  <si>
    <t>2,0 x 1013 gv/mL</t>
  </si>
  <si>
    <t>suspensão injetável</t>
  </si>
  <si>
    <t>M09AX09</t>
  </si>
  <si>
    <t>B03AB02</t>
  </si>
  <si>
    <t>Selexipague, 1 mg</t>
  </si>
  <si>
    <t>B01AC27</t>
  </si>
  <si>
    <t>Selexipague, 1,2 mg</t>
  </si>
  <si>
    <t>pamoato de pasireotida</t>
  </si>
  <si>
    <t>H01CB05</t>
  </si>
  <si>
    <t>Selexipague, 1,6 mg</t>
  </si>
  <si>
    <t>Selexipague, 200 mcg</t>
  </si>
  <si>
    <t>paricalcitol</t>
  </si>
  <si>
    <t>5 mcg/mL</t>
  </si>
  <si>
    <t>H05BX02</t>
  </si>
  <si>
    <t>Paricalcitol, 5 mcg/mL, Solução Injetável</t>
  </si>
  <si>
    <t>Ampola 2,00 mL</t>
  </si>
  <si>
    <t>ravulizumabe</t>
  </si>
  <si>
    <t>L04AJ02</t>
  </si>
  <si>
    <t>Tafamidis, 20 mg</t>
  </si>
  <si>
    <t>riluzol</t>
  </si>
  <si>
    <t>N07XX02</t>
  </si>
  <si>
    <t>Riluzol, 50 mg</t>
  </si>
  <si>
    <t>risanquizumabe</t>
  </si>
  <si>
    <t>75 mg/0,83 mL</t>
  </si>
  <si>
    <t>L04AC18</t>
  </si>
  <si>
    <t>Risanquizumabe, 90 mg/mL, Solução Injetável, Seringa Preenchida</t>
  </si>
  <si>
    <t>Seringa 0,83 mL</t>
  </si>
  <si>
    <t>risdiplam</t>
  </si>
  <si>
    <t>0,75 mg/mL</t>
  </si>
  <si>
    <t>pó para solução oral</t>
  </si>
  <si>
    <t>M09AX10</t>
  </si>
  <si>
    <t>Triptorrelina, Sal Embonato, 11,25 MG, Pó Liófilo P/ Injetável</t>
  </si>
  <si>
    <t>Frasco-ampola</t>
  </si>
  <si>
    <t>rituximabe</t>
  </si>
  <si>
    <t>L01FA01</t>
  </si>
  <si>
    <t>Rituximabe, 10 mg/mL, Solução Injetável</t>
  </si>
  <si>
    <t>Frasco 50,00 mL</t>
  </si>
  <si>
    <t>rivastigmina</t>
  </si>
  <si>
    <t>1,5 mg</t>
  </si>
  <si>
    <t>N06DA03</t>
  </si>
  <si>
    <t>Rivastigmina, 1,5 mg</t>
  </si>
  <si>
    <t>18 mg</t>
  </si>
  <si>
    <t>adesivo transdérmico</t>
  </si>
  <si>
    <t>Rivastigmina, 18 mg Equivalente A 9,5 mg/Dia, Adesivo Transdérmico</t>
  </si>
  <si>
    <t>Sachê 1,00 Un</t>
  </si>
  <si>
    <t>3 mg</t>
  </si>
  <si>
    <t>Rivastigmina, 3 mg</t>
  </si>
  <si>
    <t>4,5 mg</t>
  </si>
  <si>
    <t>Rivastigmina, 4,5 mg</t>
  </si>
  <si>
    <t>6 mg</t>
  </si>
  <si>
    <t>Rivastigmina, 6 mg</t>
  </si>
  <si>
    <t>9 mg</t>
  </si>
  <si>
    <t>Rivastigmina, 9 mg Equivalente a 4,6 mg/Dia, Adesivo Transdérmico</t>
  </si>
  <si>
    <t>Sachê</t>
  </si>
  <si>
    <t>romosozumabe</t>
  </si>
  <si>
    <t>90 mg/mL</t>
  </si>
  <si>
    <t>M05BX06</t>
  </si>
  <si>
    <t>L02AE04</t>
  </si>
  <si>
    <t>Triptorrelina, Sal Embonato, 22,5 MG, Pó Liófilo P/ Injetável + Diluente, Liberação Prolongada</t>
  </si>
  <si>
    <t>secuquinumabe</t>
  </si>
  <si>
    <t>150 mg/mL</t>
  </si>
  <si>
    <t>L04AC10</t>
  </si>
  <si>
    <t>Secuquinumabe, 150 mg, Injetável</t>
  </si>
  <si>
    <t>sirolimo</t>
  </si>
  <si>
    <t>L04AH01</t>
  </si>
  <si>
    <t>Sirolimo, 1 mg</t>
  </si>
  <si>
    <t>Sirolimo, 2 mg</t>
  </si>
  <si>
    <t>somatropina</t>
  </si>
  <si>
    <t>12 UI</t>
  </si>
  <si>
    <t>H01AC01</t>
  </si>
  <si>
    <t>Somatropina, Somatotrofina Humana Recombinante, 12 UI, Pó Liófilo p/ Injetável + Diluente</t>
  </si>
  <si>
    <t>Somatropina, Somatotrofina Humana Recombinante, 12 a 30 UI, Injetável</t>
  </si>
  <si>
    <t>15 UI</t>
  </si>
  <si>
    <t>Somatropina, Somatotrofina Humana Recombinante, 15 UI, Pó Liófilo p/ Injetável + Diluente</t>
  </si>
  <si>
    <t>16 UI</t>
  </si>
  <si>
    <t>Somatropina, Somatotrofina Humana Recombinante, 16 UI, Pó Liófilo p/ Injetável + Diluente, Com Aplicador</t>
  </si>
  <si>
    <t>Somatropina, Somatotrofina Humana Recombinante, 16 UI, Pó Liófilo p/ Injetável + Diluente</t>
  </si>
  <si>
    <t>18 UI</t>
  </si>
  <si>
    <t>R01AX10</t>
  </si>
  <si>
    <t>24 UI</t>
  </si>
  <si>
    <t>Somatropina, Somatotrofina Humana Recombinante, 24 UI, Pó Liófilo p/ Injetável + Diluente</t>
  </si>
  <si>
    <t>30 UI</t>
  </si>
  <si>
    <t>Somatropina, 30 UI, Pó Liófilo p/ Injetável + Diluente</t>
  </si>
  <si>
    <t>4 UI</t>
  </si>
  <si>
    <t>Somatropina, Somatotrofina Humana Recombinante, 4 UI, Injetável</t>
  </si>
  <si>
    <t>Somatropina, 4 UI, Pó Liófilo P/ Injetável + Diluente</t>
  </si>
  <si>
    <t>tacrolimo</t>
  </si>
  <si>
    <t>L04AD02</t>
  </si>
  <si>
    <t>Tacrolimo, 1 mg</t>
  </si>
  <si>
    <t>Tacrolimo, 5 mg</t>
  </si>
  <si>
    <t>tafamidis</t>
  </si>
  <si>
    <t>61 mg</t>
  </si>
  <si>
    <t>C02AB01</t>
  </si>
  <si>
    <t>tafamidis meglumina</t>
  </si>
  <si>
    <t>teriflunomida</t>
  </si>
  <si>
    <t>14 mg</t>
  </si>
  <si>
    <t>L04AK02</t>
  </si>
  <si>
    <t>Teriflunomida, 14 mg</t>
  </si>
  <si>
    <t>tobramicina</t>
  </si>
  <si>
    <t>J01GB01</t>
  </si>
  <si>
    <t>Tobramicina, 300 mg, Solução para Inalação</t>
  </si>
  <si>
    <t>Ampola 5,00 mL</t>
  </si>
  <si>
    <t>tocilizumabe</t>
  </si>
  <si>
    <t>L04AC07</t>
  </si>
  <si>
    <t>Tocilizumabe, 20 mg/mL, Solução Injetável</t>
  </si>
  <si>
    <t>Frasco 4,00 mL</t>
  </si>
  <si>
    <t>tofacitinibe</t>
  </si>
  <si>
    <t>L04AF01</t>
  </si>
  <si>
    <t>Tofacitinibe, Sal Citrato, 5 mg</t>
  </si>
  <si>
    <t>toxina botulínica A</t>
  </si>
  <si>
    <t>100 U</t>
  </si>
  <si>
    <t>M03AX01</t>
  </si>
  <si>
    <t>Toxina Botulínica, Tipo A, 100 U, Injetável</t>
  </si>
  <si>
    <t>500 U</t>
  </si>
  <si>
    <t>Toxina Botulínica, Tipo A, 500 U, Injetável</t>
  </si>
  <si>
    <t>travoprosta</t>
  </si>
  <si>
    <t>0,04 mg/mL (0,004%)</t>
  </si>
  <si>
    <t>S01EE04</t>
  </si>
  <si>
    <t>Travoprosta, 0,04 mg/mL, Solução Oftálmica</t>
  </si>
  <si>
    <t>upadacitinibe</t>
  </si>
  <si>
    <t>15 mg</t>
  </si>
  <si>
    <t>comprimido de liberação prolongada</t>
  </si>
  <si>
    <t>L04AF03</t>
  </si>
  <si>
    <t>Upadacitinibe, 15 mg, Liberação Prolongada</t>
  </si>
  <si>
    <t>ustequinumabe</t>
  </si>
  <si>
    <t>130 mg</t>
  </si>
  <si>
    <t>L04AC05</t>
  </si>
  <si>
    <t>H02AB04</t>
  </si>
  <si>
    <t>45 mg/0,5 mL</t>
  </si>
  <si>
    <t>A11CA01</t>
  </si>
  <si>
    <t>vedolizumabe</t>
  </si>
  <si>
    <t>L04AG05</t>
  </si>
  <si>
    <t>Vedolizumabe, 300 mg, Pó Liófilo p/ Injetável</t>
  </si>
  <si>
    <t>n° Itens</t>
  </si>
  <si>
    <t>Concentração</t>
  </si>
  <si>
    <t>Forma farmacêutica​</t>
  </si>
  <si>
    <t>Registro</t>
  </si>
  <si>
    <t>Apresentação</t>
  </si>
  <si>
    <t>Componente de financiamento da Assistência Farmacêutica</t>
  </si>
  <si>
    <t>Indicação</t>
  </si>
  <si>
    <t>NCM</t>
  </si>
  <si>
    <t>acetato de ciproterona</t>
  </si>
  <si>
    <t>50 MG COM CT BL AL PLAS TRANS X 20</t>
  </si>
  <si>
    <t>ESPECIALIZADO 1B</t>
  </si>
  <si>
    <t>PCDT Puberdade Precoce Central;
PCDT Síndrome de Ovários Policísticos</t>
  </si>
  <si>
    <t>3004.39.99</t>
  </si>
  <si>
    <t>G03HA01</t>
  </si>
  <si>
    <t>acetato de gosserrelina</t>
  </si>
  <si>
    <t>10,8 mg</t>
  </si>
  <si>
    <t>implante</t>
  </si>
  <si>
    <t xml:space="preserve">SER PREENC </t>
  </si>
  <si>
    <t>PCDT Endometriose;
PCDT Leiomioma de Útero;
PCDT Puberdade Precoce Central</t>
  </si>
  <si>
    <t>3004.39.27</t>
  </si>
  <si>
    <t>L02AE03</t>
  </si>
  <si>
    <t>3,6 mg</t>
  </si>
  <si>
    <t>acetato de leuprorrelina</t>
  </si>
  <si>
    <t>3,75 mg</t>
  </si>
  <si>
    <t>pó para suspensão injetável de liberação prolongada</t>
  </si>
  <si>
    <t>3,75 MG PO LIOF SUS INJ CT FA VD TRANS AMP DIL X 1,5 ML + SER + 2 AGU</t>
  </si>
  <si>
    <t>3004.39.19</t>
  </si>
  <si>
    <t>L02AE02</t>
  </si>
  <si>
    <t>45 mg</t>
  </si>
  <si>
    <t>45 MG PO LIOF SUS INJ SC LIB PROL CT BL AL PLAS TRANS SER B + AGU DISP SEGUR + BL AL PLAS TRANS DIL SER A + EMB + 2 DESSEC</t>
  </si>
  <si>
    <t>3,75 MG PO LIOF SUS INJ CT FA VD TRANS + SOL DIL AMP VD TRANS X 2 ML + SER + 2 AGU + 2 SACHETS DE ÁLCOOL</t>
  </si>
  <si>
    <t>11,25 mg</t>
  </si>
  <si>
    <t>11,25 MG PO LIOF SUS INJ CT FA VD TRANS +  SOL DIL AMP VD TRANS X 2 ML + SER + 2 AGU+ 2 SACHETS DE ÁLCOOL</t>
  </si>
  <si>
    <t>0,1 MG/ML SOL INJ CT 5 AMP VD TRANS X 1 ML</t>
  </si>
  <si>
    <t>PCDT Acromegalia</t>
  </si>
  <si>
    <t>3004.39.26</t>
  </si>
  <si>
    <t>10 MG PO SUS INJ CT FA VD TRANS + 1 SER DIL X 2 ML + SIST APLIC</t>
  </si>
  <si>
    <t>Solução Injetável</t>
  </si>
  <si>
    <t>0,10 MG/ML SOL INJ CT 5 AMP VD TRANS X 1 ML</t>
  </si>
  <si>
    <t>ácido ursodesoxicólico</t>
  </si>
  <si>
    <t>150 MG COM CT BL AL PLAS PVC TRANS  X 30</t>
  </si>
  <si>
    <t>PCDT Colangite Biliar Primária</t>
  </si>
  <si>
    <t>3004.90.29</t>
  </si>
  <si>
    <t>A05AA02</t>
  </si>
  <si>
    <t>150 MG COM CT BL AL PLAS PVC/PVDC OPC X 20</t>
  </si>
  <si>
    <t>150 MG COM CT BL AL PLAS PVC/PVDC OPC X 30</t>
  </si>
  <si>
    <t>150 MG COM CT BL AL PLAS PVC/PVDC OPC X 60</t>
  </si>
  <si>
    <t>150 MG COM CT BL AL PLAS PVC/PVDC OPC X 90</t>
  </si>
  <si>
    <t>150 MG COM CT BL AL PLAS PVC/PVDC TRANS X 30</t>
  </si>
  <si>
    <t>150 MG COM CT BL AL PLAS PVC/PVDC TRANS X 20</t>
  </si>
  <si>
    <t>150 MG COM CT BL AL PLAS PVC/PE/PVDC TRANS X 20</t>
  </si>
  <si>
    <t>150 MG COM CT BL AL PLAS PVC/PE/PVDC TRANS X 30</t>
  </si>
  <si>
    <t>150 MG COM CT BL AL PLAS PVC/PE/PVDC TRANS X 60</t>
  </si>
  <si>
    <t>150 MG COM CT BL AL PLAS PVC/PE/PVDC TRANS X 90</t>
  </si>
  <si>
    <t>300 MG COM CT BL AL PLAS TRANS X 30</t>
  </si>
  <si>
    <t>300 MG COM CT BL AL PLAS PVC/PVDC OPC X 20</t>
  </si>
  <si>
    <t>300 MG COM CT BL AL PLAS PVC/PVDC OPC X 30</t>
  </si>
  <si>
    <t>300 MG COM CT BL AL PLAS PVC/PVDC OPC X 60</t>
  </si>
  <si>
    <t>300 MG COM CT BL AL PLAS PVC/PVDC OPC X 90</t>
  </si>
  <si>
    <t>300 MG COM CT BL AL PLAS PVC/PVDC TRANS X 30</t>
  </si>
  <si>
    <t>300 MG COM CT BL AL PLAS PVC/PVDC TRANS X 20</t>
  </si>
  <si>
    <t>300 MG COM CT BL AL PLAS PVC/PE/PVDC TRANS X 20</t>
  </si>
  <si>
    <t>300 MG COM CT BL AL PLAS PVC/PE/PVDC TRANS X 30</t>
  </si>
  <si>
    <t>300 MG COM CT BL AL PLAS PVC/PE/PVDC TRANS X 60</t>
  </si>
  <si>
    <t>300 MG COM CT BL AL PLAS PVC/PE/PVDC TRANS X 90</t>
  </si>
  <si>
    <t>50 MG COM CT BL AL PLAS PVC TRANS X 30</t>
  </si>
  <si>
    <t>50 MG COM CT BL AL PLAS PVC/PVDC OPC X 20</t>
  </si>
  <si>
    <t>50 MG COM CT BL AL PLAS PVC/PVDC OPC X 30</t>
  </si>
  <si>
    <t>50 MG COM CT BL AL PLAS PVC/PVDC OPC X 60</t>
  </si>
  <si>
    <t>50 MG COM CT BL AL PLAS PVC/PVDC OPC X 90</t>
  </si>
  <si>
    <t>acitretina</t>
  </si>
  <si>
    <t>10 MG CAP DURA CT BL AL PLAS AMB X 100</t>
  </si>
  <si>
    <t>PCDT Ictioses Hereditárias;
PCDT Psoríase</t>
  </si>
  <si>
    <t>D05BB02</t>
  </si>
  <si>
    <t>10 MG CAP DURA CT BL AL AL X 100</t>
  </si>
  <si>
    <t>10 MG CAP DURA CT BL AL PLAS AMB X 30</t>
  </si>
  <si>
    <t>25 MG CAP DURA CT BL AL AL X 100</t>
  </si>
  <si>
    <t>25 MG CAP DURA CT BL AL PLAS AMB X 30</t>
  </si>
  <si>
    <t>25 MG CAP DURA CT BL AL PLAS AMB X 100</t>
  </si>
  <si>
    <t>alfainterferona 2b</t>
  </si>
  <si>
    <t>10.000.000 UI</t>
  </si>
  <si>
    <t>10 000 000 UI PO LIOF SOL INJ CT 5 FA VD INC + 5 DIL AMP VD TRANS X 1 ML</t>
  </si>
  <si>
    <t>PCDT Hemangioma Infantil</t>
  </si>
  <si>
    <t>3002.15.90</t>
  </si>
  <si>
    <t>L03AB05</t>
  </si>
  <si>
    <t>10000000 UI PO LIOF SOL INJ IV/IM/SC/IT/IP CT 3 FA VD TRANS X 1 DOS + 3 AMP SOL DIL</t>
  </si>
  <si>
    <t>3.000.000 UI</t>
  </si>
  <si>
    <t>3 000 000 UI PO LIOF SOL INJ CT 5 FA VD TRANS + 5 DIL AMP VD TRANS X 1 ML</t>
  </si>
  <si>
    <t>3000000 UI PO LIOF SOL INJ IV/IM/SC/IT/IP CT 3 FA VD TRANS X 1 DOS + 3 AMP SOL DIL</t>
  </si>
  <si>
    <t>5.000.000 UI</t>
  </si>
  <si>
    <t>5 000 000 UI PO LIOF SOL INJ CT 5 FA VD TRANS + 5 DIL AMP VD TRANS X 1 ML</t>
  </si>
  <si>
    <t>5000000 UI PO LIOF SOL INJ IV/IM/SC/IT/IP CT 3 FA VD TRANS X 1 DOS + 3 AMP SOL DIL</t>
  </si>
  <si>
    <t>ambrisentana</t>
  </si>
  <si>
    <t>10 MG COM REV CT BL AL PVC X 30</t>
  </si>
  <si>
    <t>PCDT Hipertensão Pulmonar</t>
  </si>
  <si>
    <t>3004.90.79</t>
  </si>
  <si>
    <t>C02KX02</t>
  </si>
  <si>
    <t>5 MG COM REV CT BL AL PVC X 30</t>
  </si>
  <si>
    <t>bosentana</t>
  </si>
  <si>
    <t>125 MG COM REV CT FR PLAS OPC X 60</t>
  </si>
  <si>
    <t>C02KX01</t>
  </si>
  <si>
    <t>62,5 mg</t>
  </si>
  <si>
    <t>62,5 MG COM REV CT FR PLAS OPC X 60</t>
  </si>
  <si>
    <t xml:space="preserve">brometo de tiotrópio monoidratado + cloridrato de olodaterol </t>
  </si>
  <si>
    <t xml:space="preserve">2,5 mcg + 2,5 mcg </t>
  </si>
  <si>
    <t>(2,5 + 2,5) MCG SOL INAL OR CT FR PLAS X 60 ACIONAMENTOS + INAL</t>
  </si>
  <si>
    <t>PCDT Doença Pulmonar Obstrutiva Crônica
(DPOC)</t>
  </si>
  <si>
    <t>3004.49.90</t>
  </si>
  <si>
    <t>R03AL06</t>
  </si>
  <si>
    <t>brometo de umeclidínio + trifenatato de vilanterol</t>
  </si>
  <si>
    <t xml:space="preserve">62,5 mcg + 25 mcg </t>
  </si>
  <si>
    <t>pó inalatório</t>
  </si>
  <si>
    <t>62,5 MCG/DOSE PO INAL OR + 25 MCG/DOSE PO INAL OR CT STR AL X 7 + 7</t>
  </si>
  <si>
    <t>3004.90.39</t>
  </si>
  <si>
    <t>R03AL03</t>
  </si>
  <si>
    <t>62,5 MCG/DOSE PO INAL OR + 25 MCG/DOSE PO INAL OR CT STR AL X 30 + 30</t>
  </si>
  <si>
    <t>cloridrato de amantadina</t>
  </si>
  <si>
    <t>100 MG COM CT BL AL PLAS PVC TRANS X 20</t>
  </si>
  <si>
    <t>PCDT Doença de Parkinson</t>
  </si>
  <si>
    <t>N04BB01</t>
  </si>
  <si>
    <t>100 MG COM CT BL AL PLAS PVC TRANS X 30</t>
  </si>
  <si>
    <t>cloridrato de selegilina</t>
  </si>
  <si>
    <t>5 MG COM CT BL AL PLAS PVC TRANS X 20</t>
  </si>
  <si>
    <t>N04BD01</t>
  </si>
  <si>
    <t>5 MG COM CT BL AL PLAS PVC TRANS X 50</t>
  </si>
  <si>
    <t>cloridrato de triexifenidil</t>
  </si>
  <si>
    <t>5 MG COM CT BL AL PLAS PVC TRANS X 30</t>
  </si>
  <si>
    <t>3004.90.69</t>
  </si>
  <si>
    <t>N04AA01</t>
  </si>
  <si>
    <t>danazol</t>
  </si>
  <si>
    <t>100 MG CAP DURA CT BL AL PLAS TRANS X 50</t>
  </si>
  <si>
    <t>PCDT Angioedema associado à deficiência de C1
esterase;
PCDT Endometriose;
PCDT Lúpus Eritematoso Sistêmico;
PCDT Púrpura Trombocitopênica Idiopática</t>
  </si>
  <si>
    <t>G03XA01</t>
  </si>
  <si>
    <t>200 MG CAP  DURA CT BL AL PLAS TRANS X 30</t>
  </si>
  <si>
    <t>deferiprona</t>
  </si>
  <si>
    <t>500 MG COM REV CT FR PLAS OPC X 100</t>
  </si>
  <si>
    <t>PCDT Sobrecarga de Ferro</t>
  </si>
  <si>
    <t>V03AC02</t>
  </si>
  <si>
    <t>dicloridrato de sapropterina</t>
  </si>
  <si>
    <t>comprimido
solúvel</t>
  </si>
  <si>
    <t>100 MG COM SOL CT FR PLAS OPC X 30</t>
  </si>
  <si>
    <t>PCDT Fenilcetonúria</t>
  </si>
  <si>
    <t>A16AX07</t>
  </si>
  <si>
    <t>eltrombopague olamina</t>
  </si>
  <si>
    <t>25 MG COM REV CT BL AL/AL X 14</t>
  </si>
  <si>
    <t>PCDT Púrpura Trombocitopênica Idiopática;
PCDT Síndrome de Falência Medular</t>
  </si>
  <si>
    <t>3004.90.99</t>
  </si>
  <si>
    <t>B02BX05</t>
  </si>
  <si>
    <t>50 MG COM REV CT BL AL/AL X 14</t>
  </si>
  <si>
    <t>embonato de triptorrelina</t>
  </si>
  <si>
    <t>11,25 MG PO LIOF SUS INJ LIB PROL IM CT FA VD TRANS + DIL AMP VD TRANS X 2 ML</t>
  </si>
  <si>
    <t>3004.39.18</t>
  </si>
  <si>
    <t>ACETATO DE TRIPTORRELINA</t>
  </si>
  <si>
    <t>PO LIOF SUS INJ</t>
  </si>
  <si>
    <t>3,75  MG PO SUS INJ LIB PROL IM/SC CT SER PREENC VD TRANS + DIL SER PREENC VD TRANS X 1ML + ADAPT + 2 AGU</t>
  </si>
  <si>
    <t>EMBONATO DE TRIPTORRELINA</t>
  </si>
  <si>
    <t>3,75 MG PO LIOF SUS INJ LIB PROL IM CT FA VD TRANS + DIL AMP VD TRANS X 2 ML</t>
  </si>
  <si>
    <t>TRIPTORRELINA</t>
  </si>
  <si>
    <t>22,5 mg</t>
  </si>
  <si>
    <t>22,5 MG PO LIOF SUS INJ LIB PROL IM CT FA VD TRANS + DIL AMP VD TRANS X 2 ML</t>
  </si>
  <si>
    <t>PCDT Puberdade Precoce Central</t>
  </si>
  <si>
    <t>hidroxiureia</t>
  </si>
  <si>
    <t>100 MG COM REV CT FR PLAS PEAD OPC X 60</t>
  </si>
  <si>
    <t>PCDT Doença Falciforme</t>
  </si>
  <si>
    <t>500 MG CAP DURA CT FR VD AMB X 100</t>
  </si>
  <si>
    <t>500 MG CAP DURA CT BL AL AL X 100</t>
  </si>
  <si>
    <t>500 MG CAP DURA CT FR VD AMB X 150</t>
  </si>
  <si>
    <t>500 MG CAP DURA CT BL AL AL X 150</t>
  </si>
  <si>
    <t>500 MG CAP DURA CT FR VD AMB X 200</t>
  </si>
  <si>
    <t>500 MG CAP DURA CT BL AL AL X 200</t>
  </si>
  <si>
    <t>500 MG CAP DURA CT BL AL PLAS PVC/PVDC OPC X 100</t>
  </si>
  <si>
    <t>500 MG CAP DURA CT BL AL PLAS PVC/PVDC OPC X 150</t>
  </si>
  <si>
    <t>500 MG CAP DURA CT BL AL PLAS PVC/PVDC OPC X 200</t>
  </si>
  <si>
    <t>iloprosta</t>
  </si>
  <si>
    <t>10 mcg/mL</t>
  </si>
  <si>
    <t>10 MCG/ML SOL INAL OR CT 30 AMP VD TRANS X 1 ML</t>
  </si>
  <si>
    <t>B01AC11</t>
  </si>
  <si>
    <t>0,5 g</t>
  </si>
  <si>
    <t>PCDT Anemia Hemolítica Autoimune;
PCDT Dermatomiosite e Polimiosite;
PCDT Imunodeficiência Primária com Predominância de Defeitos de Anticorpos;
PCDT Imunossupressão em Transplante Renal;
PCDT Miastenia Gravis;
PCDT Púrpura Trombocitopênica Idiopática;
PCDT Síndrome de Falência Medular;
PCDT Síndrome de Guillain-Barré</t>
  </si>
  <si>
    <t>3002.12.22</t>
  </si>
  <si>
    <t>160 mg/mL</t>
  </si>
  <si>
    <t>200 mg/mL</t>
  </si>
  <si>
    <t>2,5 g</t>
  </si>
  <si>
    <t>50 mg/mL</t>
  </si>
  <si>
    <t>mepolizumabe</t>
  </si>
  <si>
    <t>100 MG PO LIOF SOL INJ CT FA VD TRANS</t>
  </si>
  <si>
    <t>PCDT Asma</t>
  </si>
  <si>
    <t>R03DX09</t>
  </si>
  <si>
    <t>100 MG/ML SOL INJ CT SER PREENC VD TRANS + ADAPT + AGU</t>
  </si>
  <si>
    <t>100 MG/ML SOL INJ CT CAR VD TRANS + CAN APLIC + AGU</t>
  </si>
  <si>
    <t>40 MG/ 0,4 ML SOL INJ CT SER PREENC VD TRANS + ADAPT + AGU</t>
  </si>
  <si>
    <t>mesilato de bromocriptina</t>
  </si>
  <si>
    <t>2,5 MG COM CT  BL AL/AL X 28</t>
  </si>
  <si>
    <t>PCDT Hiperprolactinemia</t>
  </si>
  <si>
    <t>G02CB01</t>
  </si>
  <si>
    <t>mesilato de deferoxamina</t>
  </si>
  <si>
    <t>500 MG PO LIOF SOL INJ CT 5 FA VD TRANS + 5 AMP DIL VD TRANS X 5 ML</t>
  </si>
  <si>
    <t>PCDT Distúrbio Mineral Ósseo na Doença Renal Crônica; 
PCDT Sobrecarga de Ferro</t>
  </si>
  <si>
    <t>3004.90.48</t>
  </si>
  <si>
    <t>V03AC01</t>
  </si>
  <si>
    <t>500 MG PO LIOF SOL INJ CT 5 FA VD TRANS + 5 DIL AMP VD TRANS X 5 ML</t>
  </si>
  <si>
    <t>omalizumabe</t>
  </si>
  <si>
    <t>150 MG PO LIOF INJ CT FA VD INC + AMP VD INC DIL X 2 ML </t>
  </si>
  <si>
    <t>R03DX05</t>
  </si>
  <si>
    <t>150 MG SOL INJ CT 1 SER PREENC VD TRANS X 1 ML</t>
  </si>
  <si>
    <t>pancreatina</t>
  </si>
  <si>
    <t>10.000 UI CAP GEL DURA CT BL AL/AL X 30  (MINIMICROESFERAS)</t>
  </si>
  <si>
    <t>PCDT Fibrose Cística; 
PCDT Insuficiência Pancreática Exócrina</t>
  </si>
  <si>
    <t>3004.90.19</t>
  </si>
  <si>
    <t>A09AA02</t>
  </si>
  <si>
    <t>25.000 UI</t>
  </si>
  <si>
    <t>25.000 UI CAP GEL DURA CT BL AL/AL X 30 (MINIMICROESFERAS)</t>
  </si>
  <si>
    <t>penicilamina</t>
  </si>
  <si>
    <t>250 MG CAP DURA CT FR PLAS OPC X 100</t>
  </si>
  <si>
    <t>PCDT Doença de Wilson</t>
  </si>
  <si>
    <t>3004.90.59</t>
  </si>
  <si>
    <t>M01CC01</t>
  </si>
  <si>
    <t>risperidona</t>
  </si>
  <si>
    <t>1 MG COM REV CT BL AL PLAS PVC/PVDC TRANS X 10</t>
  </si>
  <si>
    <t>PCDT Comportamento Agressivo no Transtorno do Espectro do Autismo;
PCDT Esquizofrenia; 
PCDT Transtorno Afetivo Bipolar do tipo I;
PCDT Transtorno Esquizoafetivo</t>
  </si>
  <si>
    <t>N05AX08</t>
  </si>
  <si>
    <t>1 MG COM REV CT BL AL PLAS PVC/PVDC TRANS X 30</t>
  </si>
  <si>
    <t>1 MG COM REV CT BL AL PLAS PVC/PE/PVDC TRANS X 30</t>
  </si>
  <si>
    <t>1 MG COM REV CT BL AL PLAS PVC/PE/PVDC TRANS X 60</t>
  </si>
  <si>
    <t>1 MG COM REV CT BL AL PLAS PVC TRANS X 30</t>
  </si>
  <si>
    <t>1 MG COM REV CT BL AL PLAS TRANS X 30</t>
  </si>
  <si>
    <t>1 MG COM REV CT BL AL PLAS PVC TRANS X 20</t>
  </si>
  <si>
    <t>1 MG COM REV CX BL AL PLAS PVC TRANS X 200</t>
  </si>
  <si>
    <t>1 MG COM REV CT BL AL PLAS PVC TRANS X 60</t>
  </si>
  <si>
    <t>1 MG COM REV CT BL AL PLAS TRANS X 20</t>
  </si>
  <si>
    <t>1 MG COM REV CT BL AL PLAS TRANS X 6</t>
  </si>
  <si>
    <t>1 MG COM REV CT BL AL PLAS TRANS X 7</t>
  </si>
  <si>
    <t>1 MG COM REV CT BL AL PLAS PVDC TRANS X 30</t>
  </si>
  <si>
    <t>1 MG COM REV CT BL AL PLAS TRANS X 500</t>
  </si>
  <si>
    <t>1 MG COM REV CT BL AL PLAS PVC/PVDC 40 TRANS X 30</t>
  </si>
  <si>
    <t>1 MG COM REV CT BL AL PLAS PVC/PVDC 40 TRANS X 300</t>
  </si>
  <si>
    <t>1 MG COM REV CT BL AL PLAS PVC/PVDC 40 TRANS X 10</t>
  </si>
  <si>
    <t>1  MG COM REV CT BL AL PLAS PVC/PVDC 40 TRANS X 30</t>
  </si>
  <si>
    <t>1 MG COM REV CT BL AL PLAS PVC/PVDC 60 TRANS X 10</t>
  </si>
  <si>
    <t>1 MG COM REV CT BL AL PLAS TRANS X 60</t>
  </si>
  <si>
    <t>1 MG/ML SOL OR CT FR VD AMB X 30 ML + SER PLAS DOSAD </t>
  </si>
  <si>
    <t>1 MG/ML SOL OR CT FR VD AMB X 30 ML + SER DOS </t>
  </si>
  <si>
    <t>1 MG/ML SOL OR CX 10 FR VD AMB X 30 ML + 10 SER DOS</t>
  </si>
  <si>
    <t>1 MG/ML SOL OR CT FR VD AMB X 60 ML + SER PLAS DOS</t>
  </si>
  <si>
    <t>1 MG/ML SOL ORAL CT FR VD AMB X 30 ML</t>
  </si>
  <si>
    <t>1MG/ML SOL OR CT FR PLAS PEAD OPC X 30ML + SER DOS</t>
  </si>
  <si>
    <t>1MG/ML SOL OR CX 100 FR PLAS PEAD OPC X 30ML + 100 SER DOS</t>
  </si>
  <si>
    <t>1MG/ML SOL OR CT FR VD AMB X 30ML + SER DOS</t>
  </si>
  <si>
    <t>1MG/ML SOL OR CT FR PLAS PET AMB X 30ML + SER DOS </t>
  </si>
  <si>
    <t>1MG/ML SOL OR CT FR PLAS PET AMB X 30ML + SER DOS</t>
  </si>
  <si>
    <t>1MG/ML SOL OR CX 100 FR VD AMB X 30ML +  100 SER DOS</t>
  </si>
  <si>
    <t>1MG/ML SOL OR CX 100 FR PLAS PET AMB X 30ML + 100 SER DOS</t>
  </si>
  <si>
    <t>2 MG COM REV CT BL AL PLAS PVC TRANS X 60</t>
  </si>
  <si>
    <t>2 MG COM REV CT BL AL PLAS TRANS X 30</t>
  </si>
  <si>
    <t>2 MG COM REV CT BL AL PLAS PVC/PVDC TRANS X 30</t>
  </si>
  <si>
    <t>2 MG COM REV CT BL AL PLAS TRANS X 20</t>
  </si>
  <si>
    <t>2 MG COM REV CT BL AL PLAS TRANS X 7</t>
  </si>
  <si>
    <t>2 MG COM REV CT BL AL PLAS PVDC TRANS X 30</t>
  </si>
  <si>
    <t>2 MG COM REV CT BL AL PLAS TRANS X 500</t>
  </si>
  <si>
    <t>2 MG COM REV CT BL AL PLAS PVC/PVDC 40 TRANS X 30</t>
  </si>
  <si>
    <t>2 MG COM REV CT BL AL PLAS PVC/PVDC 40 TRANS X 300</t>
  </si>
  <si>
    <t>2 MG COM REV CT BL AL PLAS PVC/PVDC 40 TRANS X 10</t>
  </si>
  <si>
    <t>2 MG COM REV CT BL AL PLAS PVC/PVDC 60 TRANS X 10</t>
  </si>
  <si>
    <t>2 MG COM REV CT BL AL PLAS TRANS X 60</t>
  </si>
  <si>
    <t>3 MG COM REV CT BL AL PLAS PVC/PVDC TRANS X 30</t>
  </si>
  <si>
    <t>3 MG COM REV CT BL AL PLAS PVC/PE/PVDC TRANS X 30</t>
  </si>
  <si>
    <t>3 MG COM REV CT BL AL PLAS PVC/PE/PVDC TRANS X 60</t>
  </si>
  <si>
    <t>3 MG COM REV CT BL AL PLAS PVC TRANS X 30</t>
  </si>
  <si>
    <t>3 MG COM REV CT BL AL PLAS TRANS X 30</t>
  </si>
  <si>
    <t>3 MG COM REV CT BL AL PLAS PVC TRANS X 20</t>
  </si>
  <si>
    <t>3 MG COM REV CX BL AL PLAS PVC TRANS X 200</t>
  </si>
  <si>
    <t>3 MG COM REV CT BL AL PLAS PVC TRANS X 60</t>
  </si>
  <si>
    <t>3 MG COM REV CT BL AL PLAS TRANS X 20</t>
  </si>
  <si>
    <t>3 MG COM REV CT BL AL PLAS TRANS X 7</t>
  </si>
  <si>
    <t>3 MG COM REV CT BL AL PLAS PVDC TRANS X 30</t>
  </si>
  <si>
    <t>3 MG COM REV CT BL AL PLAS PVC/PVDC 40 TRANS X 30</t>
  </si>
  <si>
    <t>3 MG COM REV CT BL AL PLAS PVC/PVDC 40 TRANS X 300</t>
  </si>
  <si>
    <t>3 MG COM REV CT BL AL PLAS TRANS X 60</t>
  </si>
  <si>
    <t>HIDROGENOTARTARATO DE RIVASTIGMINA</t>
  </si>
  <si>
    <t>2 MG/ML SOL OR CT FR VD AMB X 120 ML + SER DOSAD </t>
  </si>
  <si>
    <t>PCDT Doença de Alzheimer</t>
  </si>
  <si>
    <t>2 MG/ML SOL OR CT FR VD AMB X 120 ML + SER DOS</t>
  </si>
  <si>
    <t>2 MG/ML SOL CT FR VD AMB X 120 ML + SER DOS</t>
  </si>
  <si>
    <t>sacarato de hidróxido férrico</t>
  </si>
  <si>
    <t>20 MG/ML SOL INJ CT 5 FA VD TRANS X 5 ML</t>
  </si>
  <si>
    <t>PCDT Anemia na Doença Renal Crônica</t>
  </si>
  <si>
    <t>20 MG/ML SOL INJ CT 10 FA VD TRANS X 5 ML</t>
  </si>
  <si>
    <t>20 MG/ML SOL INJ IV CX 5 AMP VD TRANS X 5 ML </t>
  </si>
  <si>
    <t>20 MG/ML SOL INJ IV CT AMP VD AMB X 5 ML</t>
  </si>
  <si>
    <t>20 MG/ML SOL INJ IV CT 3 AMP VD AMB X 5 ML</t>
  </si>
  <si>
    <t>20 MG/ML SOL INJ IV CT 5 AMP VD AMB X 5 ML</t>
  </si>
  <si>
    <t>20 MG/ML SOL INJ IV CX 50 AMP VD AMB X 5 ML</t>
  </si>
  <si>
    <t>20 MG/ML SOL INJ CT AMP VD AMB X 5 ML</t>
  </si>
  <si>
    <t>20 MG/ML SOL INJ CT 5 AMP VD AMB X 5 ML</t>
  </si>
  <si>
    <t>20 MG/ML SOL INJ CX 50 AMP VD AMB X 5 ML</t>
  </si>
  <si>
    <t>sacubitril valsartana sódica hidratada</t>
  </si>
  <si>
    <t>50 MG COM REV CT BL AL AL X 28</t>
  </si>
  <si>
    <t>PCDT Insuficiência Cardíaca com Fração de Ejeção Reduzida</t>
  </si>
  <si>
    <t>C09DX04</t>
  </si>
  <si>
    <t>200 MG COM REV CT BL AL AL X 28</t>
  </si>
  <si>
    <t>200 MG COM REV CT BL AL AL X 60</t>
  </si>
  <si>
    <t>100 MG COM REV CT BL AL AL X 28</t>
  </si>
  <si>
    <t>100 MG COM REV CT BL AL AL X 60</t>
  </si>
  <si>
    <t>selexipague</t>
  </si>
  <si>
    <t>1.000 mcg</t>
  </si>
  <si>
    <t>1 MG COM REV CT FR PLAS OPC X 60</t>
  </si>
  <si>
    <t>1.200 mcg</t>
  </si>
  <si>
    <t>1,2 MG COM REV CT FR PLAS OPC X 60</t>
  </si>
  <si>
    <t>1.400 mcg</t>
  </si>
  <si>
    <t>1,4 MG COM REV CT FR PLAS OPC X 60</t>
  </si>
  <si>
    <t>1.600 mcg</t>
  </si>
  <si>
    <t>1,6 MG COM REV CT FR PLAS OPC X 60</t>
  </si>
  <si>
    <t>200 mcg</t>
  </si>
  <si>
    <t>0,2 MG COM REV CT FR PLAS OPC X 60</t>
  </si>
  <si>
    <t>0,2 MG COM REV CT FR PLAS OPC X 140</t>
  </si>
  <si>
    <t>400 mcg</t>
  </si>
  <si>
    <t>0,4 MG COM REV CT FR PLAS OPC X 60</t>
  </si>
  <si>
    <t>600 mcg</t>
  </si>
  <si>
    <t>0,6 MG COM REV CT FR PLAS OPC X 60</t>
  </si>
  <si>
    <t>800 mcg</t>
  </si>
  <si>
    <t>0,8 MG COM REV CT FR PLAS OPC X 60</t>
  </si>
  <si>
    <t>* Preço CMED - pegamos os preços PF Sem Impostos das planilhas de preços de Venda ao Governo</t>
  </si>
  <si>
    <t>Preço de 2025 - Utlizada planilhas CMED de julho/25</t>
  </si>
  <si>
    <t>Preço de 2024 - Utlizada planilhas CMED de dezembro/24</t>
  </si>
  <si>
    <t>Preço de 2023 - Utlizada planilhas CMED de dezembro/23</t>
  </si>
  <si>
    <t>Preço de 2022 - Utlizada planilhas CMED de dezembro/22</t>
  </si>
  <si>
    <t>Preço de 2021 - Utlizada planilhas CMED de dezembro/21</t>
  </si>
  <si>
    <t>Preço de 2020 - Utlizada planilhas CMED de dezembro/20</t>
  </si>
  <si>
    <t>Preço de 2019 - Utlizada planilhas CMED de dezembro/19</t>
  </si>
  <si>
    <t>Preço de 2018 - Utlizada planilhas CMED de dezembro/18</t>
  </si>
  <si>
    <t>Preço de 2017 - Utlizada planilhas CMED de dezembro/17</t>
  </si>
  <si>
    <t>Preço de 2016 - Utlizada planilhas CMED de dezembro/16</t>
  </si>
  <si>
    <t>Preço de 2015 - Utlizada planilhas CMED de dezembro/15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</si>
</sst>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rgb="FF444649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Arial"/>
      <family val="2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FF00"/>
      <name val="Calibri"/>
      <family val="2"/>
      <scheme val="minor"/>
    </font>
    <font>
      <sz val="8"/>
      <color indexed="8"/>
      <name val="Calibri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/>
      <right style="thin">
        <color rgb="FFE0E0E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3" borderId="3" xfId="0" applyFont="1" applyFill="1" applyBorder="1" applyAlignment="1">
      <alignment horizontal="center"/>
    </xf>
    <xf numFmtId="1" fontId="3" fillId="3" borderId="3" xfId="0" applyNumberFormat="1" applyFont="1" applyFill="1" applyBorder="1" applyAlignment="1">
      <alignment horizontal="center"/>
    </xf>
    <xf numFmtId="0" fontId="4" fillId="3" borderId="3" xfId="0" applyFont="1" applyFill="1" applyBorder="1"/>
    <xf numFmtId="0" fontId="0" fillId="0" borderId="3" xfId="0" applyBorder="1" applyAlignment="1">
      <alignment horizontal="center" wrapText="1"/>
    </xf>
    <xf numFmtId="0" fontId="3" fillId="3" borderId="3" xfId="0" applyFont="1" applyFill="1" applyBorder="1"/>
    <xf numFmtId="0" fontId="3" fillId="3" borderId="3" xfId="0" applyFont="1" applyFill="1" applyBorder="1" applyAlignment="1">
      <alignment horizontal="center" wrapText="1"/>
    </xf>
    <xf numFmtId="0" fontId="4" fillId="4" borderId="3" xfId="0" applyFont="1" applyFill="1" applyBorder="1"/>
    <xf numFmtId="0" fontId="4" fillId="3" borderId="4" xfId="0" applyFont="1" applyFill="1" applyBorder="1"/>
    <xf numFmtId="0" fontId="5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/>
    <xf numFmtId="2" fontId="3" fillId="4" borderId="3" xfId="0" applyNumberFormat="1" applyFont="1" applyFill="1" applyBorder="1"/>
    <xf numFmtId="4" fontId="3" fillId="3" borderId="3" xfId="0" applyNumberFormat="1" applyFont="1" applyFill="1" applyBorder="1"/>
    <xf numFmtId="0" fontId="4" fillId="4" borderId="5" xfId="0" applyFont="1" applyFill="1" applyBorder="1"/>
    <xf numFmtId="0" fontId="4" fillId="3" borderId="5" xfId="0" applyFont="1" applyFill="1" applyBorder="1"/>
    <xf numFmtId="0" fontId="0" fillId="0" borderId="3" xfId="0" applyBorder="1"/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4" fillId="10" borderId="6" xfId="0" applyFont="1" applyFill="1" applyBorder="1" applyAlignment="1">
      <alignment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5" fillId="11" borderId="8" xfId="0" applyFont="1" applyFill="1" applyBorder="1" applyAlignment="1">
      <alignment vertical="center" wrapText="1"/>
    </xf>
    <xf numFmtId="0" fontId="15" fillId="11" borderId="9" xfId="0" applyFont="1" applyFill="1" applyBorder="1" applyAlignment="1">
      <alignment horizontal="center" vertical="center" wrapText="1"/>
    </xf>
    <xf numFmtId="0" fontId="15" fillId="11" borderId="10" xfId="0" applyFont="1" applyFill="1" applyBorder="1" applyAlignment="1">
      <alignment vertical="center" wrapText="1"/>
    </xf>
    <xf numFmtId="0" fontId="15" fillId="11" borderId="6" xfId="0" applyFont="1" applyFill="1" applyBorder="1" applyAlignment="1">
      <alignment vertical="center" wrapText="1"/>
    </xf>
    <xf numFmtId="0" fontId="15" fillId="11" borderId="11" xfId="0" applyFont="1" applyFill="1" applyBorder="1" applyAlignment="1">
      <alignment vertical="center" wrapText="1"/>
    </xf>
    <xf numFmtId="0" fontId="0" fillId="11" borderId="11" xfId="0" applyFill="1" applyBorder="1" applyAlignment="1">
      <alignment vertical="center" wrapText="1"/>
    </xf>
    <xf numFmtId="0" fontId="0" fillId="11" borderId="9" xfId="0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</cellXfs>
  <cellStyles count="1">
    <cellStyle name="Normal" xfId="0" builtinId="0"/>
  </cellStyles>
  <dxfs count="3"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workbookViewId="0">
      <selection activeCell="B3" sqref="B3"/>
    </sheetView>
  </sheetViews>
  <sheetFormatPr defaultRowHeight="15"/>
  <cols>
    <col min="1" max="1" width="61.140625" customWidth="1"/>
    <col min="2" max="2" width="14" customWidth="1"/>
    <col min="3" max="3" width="21.28515625" customWidth="1"/>
  </cols>
  <sheetData>
    <row r="1" spans="1:3" ht="19.5" thickBot="1">
      <c r="A1" s="53" t="s">
        <v>0</v>
      </c>
    </row>
    <row r="2" spans="1:3" ht="15.75" thickBot="1">
      <c r="A2" s="43" t="s">
        <v>1</v>
      </c>
      <c r="B2" s="44" t="s">
        <v>2</v>
      </c>
      <c r="C2" s="44" t="s">
        <v>3</v>
      </c>
    </row>
    <row r="3" spans="1:3" ht="15.75" thickBot="1">
      <c r="A3" s="45" t="s">
        <v>4</v>
      </c>
      <c r="B3" s="46">
        <v>271157</v>
      </c>
      <c r="C3" s="46" t="s">
        <v>5</v>
      </c>
    </row>
    <row r="4" spans="1:3" ht="15.75" thickBot="1">
      <c r="A4" s="45" t="s">
        <v>6</v>
      </c>
      <c r="B4" s="46">
        <v>271154</v>
      </c>
      <c r="C4" s="46" t="s">
        <v>5</v>
      </c>
    </row>
    <row r="5" spans="1:3" ht="15.75" thickBot="1">
      <c r="A5" s="45" t="s">
        <v>7</v>
      </c>
      <c r="B5" s="46">
        <v>271157</v>
      </c>
      <c r="C5" s="46" t="s">
        <v>5</v>
      </c>
    </row>
    <row r="6" spans="1:3" ht="15.75" thickBot="1">
      <c r="A6" s="45" t="s">
        <v>8</v>
      </c>
      <c r="B6" s="46">
        <v>271154</v>
      </c>
      <c r="C6" s="46" t="s">
        <v>5</v>
      </c>
    </row>
    <row r="7" spans="1:3" ht="15.75" thickBot="1">
      <c r="A7" s="45" t="s">
        <v>9</v>
      </c>
      <c r="B7" s="46">
        <v>399010</v>
      </c>
      <c r="C7" s="46" t="s">
        <v>5</v>
      </c>
    </row>
    <row r="8" spans="1:3" ht="15.75" thickBot="1">
      <c r="A8" s="47" t="s">
        <v>10</v>
      </c>
      <c r="B8" s="46">
        <v>440255</v>
      </c>
      <c r="C8" s="46" t="s">
        <v>5</v>
      </c>
    </row>
    <row r="9" spans="1:3" ht="15.75" thickBot="1">
      <c r="A9" s="48" t="s">
        <v>11</v>
      </c>
      <c r="B9" s="46">
        <v>439908</v>
      </c>
      <c r="C9" s="46" t="s">
        <v>5</v>
      </c>
    </row>
    <row r="10" spans="1:3" ht="15.75" thickBot="1">
      <c r="A10" s="49" t="s">
        <v>12</v>
      </c>
      <c r="B10" s="46">
        <v>268436</v>
      </c>
      <c r="C10" s="46" t="s">
        <v>13</v>
      </c>
    </row>
    <row r="11" spans="1:3" ht="30.75" thickBot="1">
      <c r="A11" s="50" t="s">
        <v>14</v>
      </c>
      <c r="B11" s="46">
        <v>270846</v>
      </c>
      <c r="C11" s="51" t="s">
        <v>15</v>
      </c>
    </row>
    <row r="12" spans="1:3" ht="30.75" thickBot="1">
      <c r="A12" s="50" t="s">
        <v>16</v>
      </c>
      <c r="B12" s="46">
        <v>268956</v>
      </c>
      <c r="C12" s="51" t="s">
        <v>15</v>
      </c>
    </row>
    <row r="13" spans="1:3" ht="15.75" thickBot="1">
      <c r="A13" s="50" t="s">
        <v>17</v>
      </c>
      <c r="B13" s="46">
        <v>448808</v>
      </c>
      <c r="C13" s="51" t="s">
        <v>15</v>
      </c>
    </row>
    <row r="14" spans="1:3" ht="30.75" thickBot="1">
      <c r="A14" s="50" t="s">
        <v>18</v>
      </c>
      <c r="B14" s="46">
        <v>398702</v>
      </c>
      <c r="C14" s="51" t="s">
        <v>15</v>
      </c>
    </row>
    <row r="15" spans="1:3" ht="30.75" thickBot="1">
      <c r="A15" s="50" t="s">
        <v>19</v>
      </c>
      <c r="B15" s="46">
        <v>448804</v>
      </c>
      <c r="C15" s="51" t="s">
        <v>15</v>
      </c>
    </row>
    <row r="16" spans="1:3" ht="15.75" thickBot="1">
      <c r="A16" s="50" t="s">
        <v>20</v>
      </c>
      <c r="B16" s="46">
        <v>358753</v>
      </c>
      <c r="C16" s="51" t="s">
        <v>15</v>
      </c>
    </row>
    <row r="17" spans="1:3" ht="15.75" thickBot="1">
      <c r="A17" s="50" t="s">
        <v>21</v>
      </c>
      <c r="B17" s="46">
        <v>358755</v>
      </c>
      <c r="C17" s="51" t="s">
        <v>15</v>
      </c>
    </row>
    <row r="18" spans="1:3" ht="15.75" thickBot="1">
      <c r="A18" s="50" t="s">
        <v>22</v>
      </c>
      <c r="B18" s="46">
        <v>612010</v>
      </c>
      <c r="C18" s="51" t="s">
        <v>15</v>
      </c>
    </row>
    <row r="19" spans="1:3" ht="30.75" thickBot="1">
      <c r="A19" s="50" t="s">
        <v>23</v>
      </c>
      <c r="B19" s="46">
        <v>295605</v>
      </c>
      <c r="C19" s="51" t="s">
        <v>15</v>
      </c>
    </row>
    <row r="20" spans="1:3" ht="30.75" thickBot="1">
      <c r="A20" s="49" t="s">
        <v>24</v>
      </c>
      <c r="B20" s="46">
        <v>416731</v>
      </c>
      <c r="C20" s="51" t="s">
        <v>15</v>
      </c>
    </row>
    <row r="21" spans="1:3" ht="15.75" thickBot="1">
      <c r="A21" s="50" t="s">
        <v>25</v>
      </c>
      <c r="B21" s="46">
        <v>287595</v>
      </c>
      <c r="C21" s="51" t="s">
        <v>15</v>
      </c>
    </row>
    <row r="22" spans="1:3" ht="15.75" thickBot="1">
      <c r="A22" s="50" t="s">
        <v>26</v>
      </c>
      <c r="B22" s="46">
        <v>287593</v>
      </c>
      <c r="C22" s="51" t="s">
        <v>15</v>
      </c>
    </row>
    <row r="23" spans="1:3" ht="15.75" thickBot="1">
      <c r="A23" s="50" t="s">
        <v>27</v>
      </c>
      <c r="B23" s="46">
        <v>287594</v>
      </c>
      <c r="C23" s="51" t="s">
        <v>15</v>
      </c>
    </row>
    <row r="24" spans="1:3" ht="15.75" thickBot="1">
      <c r="A24" s="50" t="s">
        <v>28</v>
      </c>
      <c r="B24" s="46">
        <v>287592</v>
      </c>
      <c r="C24" s="51" t="s">
        <v>15</v>
      </c>
    </row>
    <row r="25" spans="1:3" ht="15.75" thickBot="1">
      <c r="A25" s="50" t="s">
        <v>29</v>
      </c>
      <c r="B25" s="46">
        <v>287600</v>
      </c>
      <c r="C25" s="51" t="s">
        <v>15</v>
      </c>
    </row>
    <row r="26" spans="1:3" ht="15.75" thickBot="1">
      <c r="A26" s="50" t="s">
        <v>30</v>
      </c>
      <c r="B26" s="52">
        <v>393920</v>
      </c>
      <c r="C26" s="51" t="s">
        <v>15</v>
      </c>
    </row>
    <row r="27" spans="1:3" ht="15.75" thickBot="1">
      <c r="A27" s="49" t="s">
        <v>31</v>
      </c>
      <c r="B27" s="46">
        <v>267502</v>
      </c>
      <c r="C27" s="46" t="s">
        <v>32</v>
      </c>
    </row>
    <row r="28" spans="1:3" ht="15.75" thickBot="1">
      <c r="A28" s="49" t="s">
        <v>33</v>
      </c>
      <c r="B28" s="52">
        <v>267506</v>
      </c>
      <c r="C28" s="46" t="s">
        <v>32</v>
      </c>
    </row>
    <row r="29" spans="1:3" ht="30.75" thickBot="1">
      <c r="A29" s="49" t="s">
        <v>34</v>
      </c>
      <c r="B29" s="52">
        <v>448841</v>
      </c>
      <c r="C29" s="46" t="s">
        <v>32</v>
      </c>
    </row>
    <row r="30" spans="1:3" ht="15.75" thickBot="1">
      <c r="A30" s="49" t="s">
        <v>35</v>
      </c>
      <c r="B30" s="52">
        <v>271089</v>
      </c>
      <c r="C30" s="46" t="s">
        <v>32</v>
      </c>
    </row>
    <row r="31" spans="1:3" ht="15.75" thickBot="1">
      <c r="A31" s="49" t="s">
        <v>36</v>
      </c>
      <c r="B31" s="52">
        <v>271111</v>
      </c>
      <c r="C31" s="46" t="s">
        <v>32</v>
      </c>
    </row>
    <row r="32" spans="1:3" ht="30.75" thickBot="1">
      <c r="A32" s="49" t="s">
        <v>37</v>
      </c>
      <c r="B32" s="52">
        <v>267581</v>
      </c>
      <c r="C32" s="46" t="s">
        <v>32</v>
      </c>
    </row>
    <row r="33" spans="1:3" ht="30.75" thickBot="1">
      <c r="A33" s="49" t="s">
        <v>38</v>
      </c>
      <c r="B33" s="52">
        <v>270614</v>
      </c>
      <c r="C33" s="46" t="s">
        <v>32</v>
      </c>
    </row>
    <row r="34" spans="1:3" ht="15.75" thickBot="1">
      <c r="A34" s="49" t="s">
        <v>39</v>
      </c>
      <c r="B34" s="52">
        <v>267613</v>
      </c>
      <c r="C34" s="46" t="s">
        <v>32</v>
      </c>
    </row>
    <row r="35" spans="1:3" ht="15.75" thickBot="1">
      <c r="A35" s="49" t="s">
        <v>40</v>
      </c>
      <c r="B35" s="52">
        <v>268236</v>
      </c>
      <c r="C35" s="46" t="s">
        <v>32</v>
      </c>
    </row>
    <row r="36" spans="1:3" ht="15.75" thickBot="1">
      <c r="A36" s="49" t="s">
        <v>41</v>
      </c>
      <c r="B36" s="52">
        <v>268236</v>
      </c>
      <c r="C36" s="46" t="s">
        <v>32</v>
      </c>
    </row>
    <row r="37" spans="1:3" ht="15.75" thickBot="1">
      <c r="A37" s="49" t="s">
        <v>42</v>
      </c>
      <c r="B37" s="52">
        <v>268236</v>
      </c>
      <c r="C37" s="46" t="s">
        <v>32</v>
      </c>
    </row>
    <row r="38" spans="1:3" ht="15.75" thickBot="1">
      <c r="A38" s="49" t="s">
        <v>43</v>
      </c>
      <c r="B38" s="52">
        <v>267312</v>
      </c>
      <c r="C38" s="46" t="s">
        <v>32</v>
      </c>
    </row>
    <row r="39" spans="1:3" ht="15.75" thickBot="1">
      <c r="A39" s="49" t="s">
        <v>44</v>
      </c>
      <c r="B39" s="52">
        <v>267772</v>
      </c>
      <c r="C39" s="46" t="s">
        <v>32</v>
      </c>
    </row>
    <row r="40" spans="1:3" ht="15.75" thickBot="1">
      <c r="A40" s="49" t="s">
        <v>45</v>
      </c>
      <c r="B40" s="52">
        <v>267643</v>
      </c>
      <c r="C40" s="46" t="s">
        <v>32</v>
      </c>
    </row>
    <row r="41" spans="1:3" ht="15.75" thickBot="1">
      <c r="A41" s="49" t="s">
        <v>46</v>
      </c>
      <c r="B41" s="52">
        <v>267671</v>
      </c>
      <c r="C41" s="46" t="s">
        <v>32</v>
      </c>
    </row>
    <row r="42" spans="1:3" ht="15.75" thickBot="1">
      <c r="A42" s="49" t="s">
        <v>47</v>
      </c>
      <c r="B42" s="52">
        <v>270092</v>
      </c>
      <c r="C42" s="46" t="s">
        <v>32</v>
      </c>
    </row>
    <row r="43" spans="1:3" ht="15.75" thickBot="1">
      <c r="A43" s="49" t="s">
        <v>48</v>
      </c>
      <c r="B43" s="52">
        <v>267674</v>
      </c>
      <c r="C43" s="46" t="s">
        <v>32</v>
      </c>
    </row>
    <row r="44" spans="1:3" ht="15.75" thickBot="1">
      <c r="A44" s="49" t="s">
        <v>49</v>
      </c>
      <c r="B44" s="52">
        <v>267676</v>
      </c>
      <c r="C44" s="46" t="s">
        <v>32</v>
      </c>
    </row>
    <row r="45" spans="1:3" ht="15.75" thickBot="1">
      <c r="A45" s="49" t="s">
        <v>50</v>
      </c>
      <c r="B45" s="52">
        <v>267651</v>
      </c>
      <c r="C45" s="46" t="s">
        <v>32</v>
      </c>
    </row>
    <row r="46" spans="1:3" ht="15.75" thickBot="1">
      <c r="A46" s="49" t="s">
        <v>51</v>
      </c>
      <c r="B46" s="52">
        <v>267691</v>
      </c>
      <c r="C46" s="46" t="s">
        <v>32</v>
      </c>
    </row>
    <row r="47" spans="1:3" ht="15.75" thickBot="1">
      <c r="A47" s="49" t="s">
        <v>52</v>
      </c>
      <c r="B47" s="52">
        <v>267717</v>
      </c>
      <c r="C47" s="46" t="s">
        <v>32</v>
      </c>
    </row>
    <row r="48" spans="1:3" ht="15.75" thickBot="1">
      <c r="A48" s="49" t="s">
        <v>53</v>
      </c>
      <c r="B48" s="52">
        <v>267712</v>
      </c>
      <c r="C48" s="46" t="s">
        <v>32</v>
      </c>
    </row>
    <row r="49" spans="1:3" ht="15.75" thickBot="1">
      <c r="A49" s="49" t="s">
        <v>54</v>
      </c>
      <c r="B49" s="52">
        <v>267778</v>
      </c>
      <c r="C49" s="46" t="s">
        <v>32</v>
      </c>
    </row>
    <row r="50" spans="1:3" ht="15.75" thickBot="1">
      <c r="A50" s="49" t="s">
        <v>55</v>
      </c>
      <c r="B50" s="52">
        <v>267777</v>
      </c>
      <c r="C50" s="46" t="s">
        <v>32</v>
      </c>
    </row>
    <row r="51" spans="1:3" ht="15.75" thickBot="1">
      <c r="A51" s="49" t="s">
        <v>56</v>
      </c>
      <c r="B51" s="52">
        <v>363597</v>
      </c>
      <c r="C51" s="46" t="s">
        <v>32</v>
      </c>
    </row>
    <row r="52" spans="1:3" ht="15.75" thickBot="1">
      <c r="A52" s="49" t="s">
        <v>57</v>
      </c>
      <c r="B52" s="52">
        <v>446104</v>
      </c>
      <c r="C52" s="46" t="s">
        <v>32</v>
      </c>
    </row>
    <row r="53" spans="1:3" ht="15.75" thickBot="1">
      <c r="A53" s="49" t="s">
        <v>58</v>
      </c>
      <c r="B53" s="52">
        <v>303292</v>
      </c>
      <c r="C53" s="46" t="s">
        <v>32</v>
      </c>
    </row>
    <row r="54" spans="1:3" ht="30.75" thickBot="1">
      <c r="A54" s="49" t="s">
        <v>59</v>
      </c>
      <c r="B54" s="52">
        <v>308884</v>
      </c>
      <c r="C54" s="46" t="s">
        <v>32</v>
      </c>
    </row>
    <row r="55" spans="1:3" ht="15.75" thickBot="1">
      <c r="A55" s="49" t="s">
        <v>60</v>
      </c>
      <c r="B55" s="52">
        <v>308882</v>
      </c>
      <c r="C55" s="46" t="s">
        <v>32</v>
      </c>
    </row>
    <row r="56" spans="1:3" ht="15.75" thickBot="1">
      <c r="A56" s="49" t="s">
        <v>61</v>
      </c>
      <c r="B56" s="52">
        <v>294887</v>
      </c>
      <c r="C56" s="46" t="s">
        <v>32</v>
      </c>
    </row>
    <row r="57" spans="1:3" ht="15.75" thickBot="1">
      <c r="A57" s="49" t="s">
        <v>62</v>
      </c>
      <c r="B57" s="46">
        <v>628380</v>
      </c>
      <c r="C57" s="46" t="s">
        <v>32</v>
      </c>
    </row>
    <row r="58" spans="1:3" ht="15.75" thickBot="1">
      <c r="A58" s="49" t="s">
        <v>63</v>
      </c>
      <c r="B58" s="52">
        <v>628383</v>
      </c>
      <c r="C58" s="46" t="s">
        <v>32</v>
      </c>
    </row>
    <row r="59" spans="1:3" ht="15.75" thickBot="1">
      <c r="A59" s="49" t="s">
        <v>64</v>
      </c>
      <c r="B59" s="52">
        <v>437177</v>
      </c>
      <c r="C59" s="46" t="s">
        <v>32</v>
      </c>
    </row>
    <row r="60" spans="1:3" ht="15.75" thickBot="1">
      <c r="A60" s="49" t="s">
        <v>65</v>
      </c>
      <c r="B60" s="52">
        <v>437178</v>
      </c>
      <c r="C60" s="46" t="s">
        <v>32</v>
      </c>
    </row>
    <row r="61" spans="1:3" ht="15.75" thickBot="1">
      <c r="A61" s="49" t="s">
        <v>66</v>
      </c>
      <c r="B61" s="52">
        <v>437180</v>
      </c>
      <c r="C61" s="46" t="s">
        <v>32</v>
      </c>
    </row>
    <row r="62" spans="1:3" ht="15.75" thickBot="1">
      <c r="A62" s="49" t="s">
        <v>67</v>
      </c>
      <c r="B62" s="52">
        <v>628243</v>
      </c>
      <c r="C62" s="46" t="s">
        <v>32</v>
      </c>
    </row>
    <row r="63" spans="1:3" ht="15.75" thickBot="1">
      <c r="A63" s="49" t="s">
        <v>68</v>
      </c>
      <c r="B63" s="52">
        <v>609507</v>
      </c>
      <c r="C63" s="46" t="s">
        <v>32</v>
      </c>
    </row>
    <row r="64" spans="1:3" ht="15.75" thickBot="1">
      <c r="A64" s="49" t="s">
        <v>69</v>
      </c>
      <c r="B64" s="52">
        <v>609452</v>
      </c>
      <c r="C64" s="46" t="s">
        <v>32</v>
      </c>
    </row>
    <row r="65" spans="1:3" ht="15.75" thickBot="1">
      <c r="A65" s="49" t="s">
        <v>70</v>
      </c>
      <c r="B65" s="52">
        <v>631784</v>
      </c>
      <c r="C65" s="46" t="s">
        <v>32</v>
      </c>
    </row>
    <row r="66" spans="1:3" ht="15.75" thickBot="1">
      <c r="A66" s="49" t="s">
        <v>71</v>
      </c>
      <c r="B66" s="52">
        <v>619842</v>
      </c>
      <c r="C66" s="46" t="s">
        <v>32</v>
      </c>
    </row>
    <row r="67" spans="1:3" ht="15.75" thickBot="1">
      <c r="A67" s="49" t="s">
        <v>72</v>
      </c>
      <c r="B67" s="52">
        <v>619841</v>
      </c>
      <c r="C67" s="46" t="s">
        <v>32</v>
      </c>
    </row>
    <row r="68" spans="1:3" ht="15.75" thickBot="1">
      <c r="A68" s="49" t="s">
        <v>73</v>
      </c>
      <c r="B68" s="52">
        <v>619840</v>
      </c>
      <c r="C68" s="46" t="s">
        <v>32</v>
      </c>
    </row>
    <row r="69" spans="1:3" ht="15.75" thickBot="1">
      <c r="A69" s="49" t="s">
        <v>74</v>
      </c>
      <c r="B69" s="52">
        <v>485312</v>
      </c>
      <c r="C69" s="46" t="s">
        <v>32</v>
      </c>
    </row>
    <row r="70" spans="1:3" ht="15.75" thickBot="1">
      <c r="A70" s="49" t="s">
        <v>75</v>
      </c>
      <c r="B70" s="52">
        <v>439702</v>
      </c>
      <c r="C70" s="46" t="s">
        <v>32</v>
      </c>
    </row>
    <row r="71" spans="1:3" ht="15.75" thickBot="1">
      <c r="A71" s="49" t="s">
        <v>76</v>
      </c>
      <c r="B71" s="52">
        <v>439688</v>
      </c>
      <c r="C71" s="46" t="s">
        <v>32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Q370"/>
  <sheetViews>
    <sheetView zoomScale="160" zoomScaleNormal="160" workbookViewId="0">
      <selection activeCell="D13" sqref="D13"/>
    </sheetView>
  </sheetViews>
  <sheetFormatPr defaultRowHeight="11.25"/>
  <cols>
    <col min="1" max="2" width="3.7109375" style="27" customWidth="1"/>
    <col min="3" max="3" width="3.7109375" style="24" customWidth="1"/>
    <col min="4" max="4" width="25.85546875" style="24" customWidth="1"/>
    <col min="5" max="5" width="15.140625" style="27" bestFit="1" customWidth="1"/>
    <col min="6" max="6" width="18.28515625" style="27" bestFit="1" customWidth="1"/>
    <col min="7" max="7" width="10.140625" style="27" bestFit="1" customWidth="1"/>
    <col min="8" max="8" width="14.140625" style="26" bestFit="1" customWidth="1"/>
    <col min="9" max="9" width="3.5703125" style="27" bestFit="1" customWidth="1"/>
    <col min="10" max="10" width="5.140625" style="27" bestFit="1" customWidth="1"/>
    <col min="11" max="11" width="9.85546875" style="27" bestFit="1" customWidth="1"/>
    <col min="12" max="12" width="6.7109375" style="27" bestFit="1" customWidth="1"/>
    <col min="13" max="13" width="10.5703125" style="27" customWidth="1"/>
    <col min="14" max="14" width="5.7109375" style="27" bestFit="1" customWidth="1"/>
    <col min="15" max="15" width="6.7109375" style="27" bestFit="1" customWidth="1"/>
    <col min="16" max="16384" width="9.140625" style="27"/>
  </cols>
  <sheetData>
    <row r="1" spans="3:17">
      <c r="D1" s="25">
        <f>COUNTA(D6:D1175)</f>
        <v>223</v>
      </c>
      <c r="E1" s="26"/>
      <c r="J1" s="25">
        <f>COUNTA(J6:J228)</f>
        <v>0</v>
      </c>
      <c r="K1" s="28">
        <f>COUNTA(K6:K228)</f>
        <v>167</v>
      </c>
      <c r="L1" s="29">
        <f>COUNTA(L6:L1048576)</f>
        <v>167</v>
      </c>
    </row>
    <row r="2" spans="3:17">
      <c r="D2" s="26"/>
      <c r="E2" s="26"/>
      <c r="J2" s="30" t="s">
        <v>77</v>
      </c>
      <c r="K2" s="31" t="s">
        <v>78</v>
      </c>
    </row>
    <row r="3" spans="3:17">
      <c r="D3" s="26"/>
      <c r="E3" s="26"/>
      <c r="J3" s="26">
        <v>382</v>
      </c>
      <c r="K3" s="26">
        <v>339</v>
      </c>
    </row>
    <row r="4" spans="3:17">
      <c r="D4" s="27"/>
      <c r="J4" s="26">
        <f>J3-J1</f>
        <v>382</v>
      </c>
      <c r="K4" s="26">
        <f t="shared" ref="K4" si="0">K3-K1</f>
        <v>172</v>
      </c>
      <c r="L4" s="26">
        <f>SUM(J4:K4)</f>
        <v>554</v>
      </c>
    </row>
    <row r="5" spans="3:17">
      <c r="D5" s="32" t="s">
        <v>79</v>
      </c>
      <c r="E5" s="32" t="s">
        <v>80</v>
      </c>
      <c r="F5" s="32" t="s">
        <v>81</v>
      </c>
      <c r="G5" s="32" t="s">
        <v>82</v>
      </c>
      <c r="H5" s="25" t="s">
        <v>83</v>
      </c>
      <c r="I5" s="25" t="s">
        <v>84</v>
      </c>
      <c r="J5" s="30" t="s">
        <v>85</v>
      </c>
      <c r="K5" s="31" t="s">
        <v>86</v>
      </c>
      <c r="L5" s="29" t="s">
        <v>87</v>
      </c>
      <c r="M5" s="33" t="s">
        <v>83</v>
      </c>
      <c r="N5" s="34" t="s">
        <v>88</v>
      </c>
      <c r="O5" s="34" t="s">
        <v>89</v>
      </c>
      <c r="P5" s="33" t="s">
        <v>90</v>
      </c>
      <c r="Q5" s="33" t="s">
        <v>91</v>
      </c>
    </row>
    <row r="6" spans="3:17" s="39" customFormat="1">
      <c r="C6" s="35"/>
      <c r="D6" s="36" t="s">
        <v>92</v>
      </c>
      <c r="E6" s="36" t="s">
        <v>93</v>
      </c>
      <c r="F6" s="36" t="s">
        <v>94</v>
      </c>
      <c r="G6" s="36" t="s">
        <v>95</v>
      </c>
      <c r="H6" s="37" t="s">
        <v>96</v>
      </c>
      <c r="I6" s="35" t="s">
        <v>97</v>
      </c>
      <c r="J6" s="35"/>
      <c r="K6" s="38" t="s">
        <v>86</v>
      </c>
      <c r="L6" s="39" t="s">
        <v>78</v>
      </c>
      <c r="M6" s="40" t="s">
        <v>96</v>
      </c>
      <c r="N6" s="41" t="s">
        <v>98</v>
      </c>
      <c r="O6" s="41">
        <v>434765</v>
      </c>
      <c r="P6" s="40" t="s">
        <v>99</v>
      </c>
      <c r="Q6" s="40" t="s">
        <v>100</v>
      </c>
    </row>
    <row r="7" spans="3:17" s="39" customFormat="1">
      <c r="C7" s="35"/>
      <c r="D7" s="36" t="s">
        <v>92</v>
      </c>
      <c r="E7" s="36" t="s">
        <v>101</v>
      </c>
      <c r="F7" s="36" t="s">
        <v>102</v>
      </c>
      <c r="G7" s="36" t="s">
        <v>95</v>
      </c>
      <c r="H7" s="37" t="s">
        <v>96</v>
      </c>
      <c r="I7" s="35" t="s">
        <v>97</v>
      </c>
      <c r="J7" s="35"/>
      <c r="K7" s="38" t="s">
        <v>86</v>
      </c>
      <c r="L7" s="39" t="s">
        <v>78</v>
      </c>
      <c r="M7" s="40" t="s">
        <v>96</v>
      </c>
      <c r="N7" s="41" t="s">
        <v>98</v>
      </c>
      <c r="O7" s="41">
        <v>365451</v>
      </c>
      <c r="P7" s="40" t="s">
        <v>103</v>
      </c>
      <c r="Q7" s="40" t="s">
        <v>104</v>
      </c>
    </row>
    <row r="8" spans="3:17" s="39" customFormat="1">
      <c r="C8" s="35"/>
      <c r="D8" s="36" t="s">
        <v>105</v>
      </c>
      <c r="E8" s="36" t="s">
        <v>106</v>
      </c>
      <c r="F8" s="36" t="s">
        <v>107</v>
      </c>
      <c r="G8" s="36" t="s">
        <v>95</v>
      </c>
      <c r="H8" s="37" t="s">
        <v>108</v>
      </c>
      <c r="I8" s="35" t="s">
        <v>109</v>
      </c>
      <c r="J8" s="35"/>
      <c r="K8" s="38" t="s">
        <v>86</v>
      </c>
      <c r="L8" s="39" t="s">
        <v>78</v>
      </c>
      <c r="M8" s="40" t="s">
        <v>108</v>
      </c>
      <c r="N8" s="41" t="s">
        <v>98</v>
      </c>
      <c r="O8" s="41">
        <v>268573</v>
      </c>
      <c r="P8" s="40" t="s">
        <v>110</v>
      </c>
      <c r="Q8" s="40" t="s">
        <v>111</v>
      </c>
    </row>
    <row r="9" spans="3:17" s="39" customFormat="1">
      <c r="C9" s="35"/>
      <c r="D9" s="36" t="s">
        <v>105</v>
      </c>
      <c r="E9" s="36" t="s">
        <v>112</v>
      </c>
      <c r="F9" s="36" t="s">
        <v>113</v>
      </c>
      <c r="G9" s="36" t="s">
        <v>95</v>
      </c>
      <c r="H9" s="37" t="s">
        <v>108</v>
      </c>
      <c r="I9" s="35" t="s">
        <v>109</v>
      </c>
      <c r="J9" s="35"/>
      <c r="K9" s="38" t="s">
        <v>86</v>
      </c>
      <c r="L9" s="39" t="s">
        <v>78</v>
      </c>
      <c r="M9" s="40" t="s">
        <v>108</v>
      </c>
      <c r="N9" s="41" t="s">
        <v>98</v>
      </c>
      <c r="O9" s="41">
        <v>268074</v>
      </c>
      <c r="P9" s="40" t="s">
        <v>114</v>
      </c>
      <c r="Q9" s="40" t="s">
        <v>115</v>
      </c>
    </row>
    <row r="10" spans="3:17" s="39" customFormat="1">
      <c r="C10" s="35"/>
      <c r="D10" s="36" t="s">
        <v>105</v>
      </c>
      <c r="E10" s="36" t="s">
        <v>112</v>
      </c>
      <c r="F10" s="36" t="s">
        <v>113</v>
      </c>
      <c r="G10" s="36" t="s">
        <v>95</v>
      </c>
      <c r="H10" s="37" t="s">
        <v>108</v>
      </c>
      <c r="I10" s="35" t="s">
        <v>109</v>
      </c>
      <c r="J10" s="35"/>
      <c r="K10" s="35"/>
      <c r="M10" s="40" t="s">
        <v>108</v>
      </c>
      <c r="N10" s="41" t="s">
        <v>98</v>
      </c>
      <c r="O10" s="41">
        <v>268074</v>
      </c>
      <c r="P10" s="40" t="s">
        <v>114</v>
      </c>
      <c r="Q10" s="40" t="s">
        <v>116</v>
      </c>
    </row>
    <row r="11" spans="3:17" s="39" customFormat="1">
      <c r="C11" s="35"/>
      <c r="D11" s="36" t="s">
        <v>105</v>
      </c>
      <c r="E11" s="36" t="s">
        <v>117</v>
      </c>
      <c r="F11" s="36" t="s">
        <v>107</v>
      </c>
      <c r="G11" s="36" t="s">
        <v>95</v>
      </c>
      <c r="H11" s="37" t="s">
        <v>108</v>
      </c>
      <c r="I11" s="35" t="s">
        <v>109</v>
      </c>
      <c r="J11" s="35"/>
      <c r="K11" s="38" t="s">
        <v>86</v>
      </c>
      <c r="L11" s="39" t="s">
        <v>78</v>
      </c>
      <c r="M11" s="40" t="s">
        <v>108</v>
      </c>
      <c r="N11" s="41" t="s">
        <v>98</v>
      </c>
      <c r="O11" s="41">
        <v>268572</v>
      </c>
      <c r="P11" s="40" t="s">
        <v>118</v>
      </c>
      <c r="Q11" s="40" t="s">
        <v>111</v>
      </c>
    </row>
    <row r="12" spans="3:17" s="39" customFormat="1">
      <c r="C12" s="35"/>
      <c r="D12" s="36" t="s">
        <v>119</v>
      </c>
      <c r="E12" s="36" t="s">
        <v>120</v>
      </c>
      <c r="F12" s="36" t="s">
        <v>94</v>
      </c>
      <c r="G12" s="36" t="s">
        <v>95</v>
      </c>
      <c r="H12" s="37" t="s">
        <v>121</v>
      </c>
      <c r="I12" s="35" t="s">
        <v>97</v>
      </c>
      <c r="J12" s="35"/>
      <c r="K12" s="38" t="s">
        <v>86</v>
      </c>
      <c r="L12" s="39" t="s">
        <v>78</v>
      </c>
      <c r="M12" s="40" t="s">
        <v>121</v>
      </c>
      <c r="N12" s="41" t="s">
        <v>98</v>
      </c>
      <c r="O12" s="41">
        <v>448709</v>
      </c>
      <c r="P12" s="40" t="s">
        <v>122</v>
      </c>
      <c r="Q12" s="40" t="s">
        <v>123</v>
      </c>
    </row>
    <row r="13" spans="3:17" s="39" customFormat="1">
      <c r="C13" s="35"/>
      <c r="D13" s="36" t="s">
        <v>119</v>
      </c>
      <c r="E13" s="36" t="s">
        <v>124</v>
      </c>
      <c r="F13" s="36" t="s">
        <v>94</v>
      </c>
      <c r="G13" s="36" t="s">
        <v>95</v>
      </c>
      <c r="H13" s="37" t="s">
        <v>121</v>
      </c>
      <c r="I13" s="35" t="s">
        <v>97</v>
      </c>
      <c r="J13" s="35"/>
      <c r="K13" s="38" t="s">
        <v>86</v>
      </c>
      <c r="L13" s="39" t="s">
        <v>78</v>
      </c>
      <c r="M13" s="40" t="s">
        <v>121</v>
      </c>
      <c r="N13" s="41" t="s">
        <v>98</v>
      </c>
      <c r="O13" s="41">
        <v>452607</v>
      </c>
      <c r="P13" s="40" t="s">
        <v>125</v>
      </c>
      <c r="Q13" s="40" t="s">
        <v>123</v>
      </c>
    </row>
    <row r="14" spans="3:17" s="39" customFormat="1">
      <c r="C14" s="35"/>
      <c r="D14" s="36" t="s">
        <v>126</v>
      </c>
      <c r="E14" s="36" t="s">
        <v>127</v>
      </c>
      <c r="F14" s="36" t="s">
        <v>128</v>
      </c>
      <c r="G14" s="36" t="s">
        <v>95</v>
      </c>
      <c r="H14" s="37" t="s">
        <v>129</v>
      </c>
      <c r="I14" s="35" t="s">
        <v>109</v>
      </c>
      <c r="J14" s="35"/>
      <c r="K14" s="38" t="s">
        <v>86</v>
      </c>
      <c r="L14" s="39" t="s">
        <v>78</v>
      </c>
      <c r="M14" s="40" t="s">
        <v>129</v>
      </c>
      <c r="N14" s="41" t="s">
        <v>98</v>
      </c>
      <c r="O14" s="41">
        <v>446524</v>
      </c>
      <c r="P14" s="40" t="s">
        <v>130</v>
      </c>
      <c r="Q14" s="40" t="s">
        <v>131</v>
      </c>
    </row>
    <row r="15" spans="3:17" s="39" customFormat="1">
      <c r="C15" s="35"/>
      <c r="D15" s="36" t="s">
        <v>126</v>
      </c>
      <c r="E15" s="36" t="s">
        <v>132</v>
      </c>
      <c r="F15" s="36" t="s">
        <v>128</v>
      </c>
      <c r="G15" s="36" t="s">
        <v>95</v>
      </c>
      <c r="H15" s="37" t="s">
        <v>129</v>
      </c>
      <c r="I15" s="35" t="s">
        <v>109</v>
      </c>
      <c r="J15" s="35"/>
      <c r="K15" s="38" t="s">
        <v>86</v>
      </c>
      <c r="L15" s="39" t="s">
        <v>78</v>
      </c>
      <c r="M15" s="40" t="s">
        <v>129</v>
      </c>
      <c r="N15" s="41" t="s">
        <v>98</v>
      </c>
      <c r="O15" s="41">
        <v>443639</v>
      </c>
      <c r="P15" s="40" t="s">
        <v>133</v>
      </c>
      <c r="Q15" s="40" t="s">
        <v>134</v>
      </c>
    </row>
    <row r="16" spans="3:17" s="39" customFormat="1">
      <c r="C16" s="35"/>
      <c r="D16" s="36" t="s">
        <v>126</v>
      </c>
      <c r="E16" s="36" t="s">
        <v>135</v>
      </c>
      <c r="F16" s="36" t="s">
        <v>128</v>
      </c>
      <c r="G16" s="36" t="s">
        <v>95</v>
      </c>
      <c r="H16" s="37" t="s">
        <v>129</v>
      </c>
      <c r="I16" s="35" t="s">
        <v>109</v>
      </c>
      <c r="J16" s="35"/>
      <c r="K16" s="38" t="s">
        <v>86</v>
      </c>
      <c r="L16" s="39" t="s">
        <v>78</v>
      </c>
      <c r="M16" s="40" t="s">
        <v>129</v>
      </c>
      <c r="N16" s="41" t="s">
        <v>98</v>
      </c>
      <c r="O16" s="41">
        <v>443639</v>
      </c>
      <c r="P16" s="40" t="s">
        <v>133</v>
      </c>
      <c r="Q16" s="40" t="s">
        <v>131</v>
      </c>
    </row>
    <row r="17" spans="3:17" s="39" customFormat="1">
      <c r="C17" s="35"/>
      <c r="D17" s="36" t="s">
        <v>136</v>
      </c>
      <c r="E17" s="36" t="s">
        <v>120</v>
      </c>
      <c r="F17" s="36" t="s">
        <v>137</v>
      </c>
      <c r="G17" s="36" t="s">
        <v>95</v>
      </c>
      <c r="H17" s="37" t="s">
        <v>138</v>
      </c>
      <c r="I17" s="35" t="s">
        <v>109</v>
      </c>
      <c r="J17" s="35"/>
      <c r="K17" s="38" t="s">
        <v>86</v>
      </c>
      <c r="L17" s="39" t="s">
        <v>78</v>
      </c>
      <c r="M17" s="40" t="s">
        <v>138</v>
      </c>
      <c r="N17" s="41" t="s">
        <v>98</v>
      </c>
      <c r="O17" s="41">
        <v>342980</v>
      </c>
      <c r="P17" s="40" t="s">
        <v>139</v>
      </c>
      <c r="Q17" s="40" t="s">
        <v>104</v>
      </c>
    </row>
    <row r="18" spans="3:17" s="39" customFormat="1">
      <c r="C18" s="35"/>
      <c r="D18" s="36" t="s">
        <v>136</v>
      </c>
      <c r="E18" s="36" t="s">
        <v>140</v>
      </c>
      <c r="F18" s="36" t="s">
        <v>137</v>
      </c>
      <c r="G18" s="36" t="s">
        <v>95</v>
      </c>
      <c r="H18" s="37" t="s">
        <v>138</v>
      </c>
      <c r="I18" s="35" t="s">
        <v>109</v>
      </c>
      <c r="J18" s="35"/>
      <c r="K18" s="38" t="s">
        <v>86</v>
      </c>
      <c r="L18" s="39" t="s">
        <v>78</v>
      </c>
      <c r="M18" s="40" t="s">
        <v>138</v>
      </c>
      <c r="N18" s="41" t="s">
        <v>98</v>
      </c>
      <c r="O18" s="41">
        <v>342981</v>
      </c>
      <c r="P18" s="40" t="s">
        <v>141</v>
      </c>
      <c r="Q18" s="40" t="s">
        <v>104</v>
      </c>
    </row>
    <row r="19" spans="3:17" s="39" customFormat="1">
      <c r="C19" s="35"/>
      <c r="D19" s="36" t="s">
        <v>142</v>
      </c>
      <c r="E19" s="36" t="s">
        <v>124</v>
      </c>
      <c r="F19" s="36" t="s">
        <v>94</v>
      </c>
      <c r="G19" s="36" t="s">
        <v>95</v>
      </c>
      <c r="H19" s="37" t="s">
        <v>143</v>
      </c>
      <c r="I19" s="35" t="s">
        <v>97</v>
      </c>
      <c r="J19" s="35"/>
      <c r="K19" s="38" t="s">
        <v>86</v>
      </c>
      <c r="L19" s="39" t="s">
        <v>78</v>
      </c>
      <c r="M19" s="40" t="s">
        <v>143</v>
      </c>
      <c r="N19" s="41" t="s">
        <v>98</v>
      </c>
      <c r="O19" s="41">
        <v>290058</v>
      </c>
      <c r="P19" s="40" t="s">
        <v>144</v>
      </c>
      <c r="Q19" s="40" t="s">
        <v>104</v>
      </c>
    </row>
    <row r="20" spans="3:17" s="39" customFormat="1">
      <c r="C20" s="35"/>
      <c r="D20" s="36" t="s">
        <v>142</v>
      </c>
      <c r="E20" s="36" t="s">
        <v>124</v>
      </c>
      <c r="F20" s="36" t="s">
        <v>94</v>
      </c>
      <c r="G20" s="36" t="s">
        <v>95</v>
      </c>
      <c r="H20" s="37" t="s">
        <v>143</v>
      </c>
      <c r="I20" s="35" t="s">
        <v>97</v>
      </c>
      <c r="J20" s="35"/>
      <c r="K20" s="35"/>
      <c r="M20" s="40" t="s">
        <v>143</v>
      </c>
      <c r="N20" s="41" t="s">
        <v>98</v>
      </c>
      <c r="O20" s="41">
        <v>290058</v>
      </c>
      <c r="P20" s="40" t="s">
        <v>144</v>
      </c>
      <c r="Q20" s="40" t="s">
        <v>145</v>
      </c>
    </row>
    <row r="21" spans="3:17" s="39" customFormat="1">
      <c r="C21" s="35"/>
      <c r="D21" s="36" t="s">
        <v>142</v>
      </c>
      <c r="E21" s="36" t="s">
        <v>124</v>
      </c>
      <c r="F21" s="36" t="s">
        <v>94</v>
      </c>
      <c r="G21" s="36" t="s">
        <v>95</v>
      </c>
      <c r="H21" s="37" t="s">
        <v>143</v>
      </c>
      <c r="I21" s="35" t="s">
        <v>97</v>
      </c>
      <c r="J21" s="35"/>
      <c r="K21" s="35"/>
      <c r="M21" s="40" t="s">
        <v>143</v>
      </c>
      <c r="N21" s="41" t="s">
        <v>98</v>
      </c>
      <c r="O21" s="41">
        <v>290058</v>
      </c>
      <c r="P21" s="40" t="s">
        <v>144</v>
      </c>
      <c r="Q21" s="40" t="s">
        <v>146</v>
      </c>
    </row>
    <row r="22" spans="3:17" s="39" customFormat="1">
      <c r="C22" s="35"/>
      <c r="D22" s="36" t="s">
        <v>147</v>
      </c>
      <c r="E22" s="36" t="s">
        <v>148</v>
      </c>
      <c r="F22" s="36" t="s">
        <v>149</v>
      </c>
      <c r="G22" s="36" t="s">
        <v>95</v>
      </c>
      <c r="H22" s="37" t="s">
        <v>150</v>
      </c>
      <c r="I22" s="35" t="s">
        <v>97</v>
      </c>
      <c r="J22" s="35"/>
      <c r="K22" s="38" t="s">
        <v>86</v>
      </c>
      <c r="L22" s="39" t="s">
        <v>78</v>
      </c>
      <c r="M22" s="40" t="s">
        <v>150</v>
      </c>
      <c r="N22" s="41" t="s">
        <v>98</v>
      </c>
      <c r="O22" s="41">
        <v>388865</v>
      </c>
      <c r="P22" s="40" t="s">
        <v>151</v>
      </c>
      <c r="Q22" s="40" t="s">
        <v>104</v>
      </c>
    </row>
    <row r="23" spans="3:17" s="39" customFormat="1">
      <c r="C23" s="35"/>
      <c r="D23" s="36" t="s">
        <v>152</v>
      </c>
      <c r="E23" s="36" t="s">
        <v>153</v>
      </c>
      <c r="F23" s="36" t="s">
        <v>94</v>
      </c>
      <c r="G23" s="36" t="s">
        <v>95</v>
      </c>
      <c r="H23" s="37" t="s">
        <v>154</v>
      </c>
      <c r="I23" s="35" t="s">
        <v>155</v>
      </c>
      <c r="J23" s="35"/>
      <c r="K23" s="38" t="s">
        <v>86</v>
      </c>
      <c r="L23" s="39" t="s">
        <v>78</v>
      </c>
      <c r="M23" s="40" t="s">
        <v>156</v>
      </c>
      <c r="N23" s="41" t="s">
        <v>98</v>
      </c>
      <c r="O23" s="41">
        <v>357119</v>
      </c>
      <c r="P23" s="40" t="s">
        <v>157</v>
      </c>
      <c r="Q23" s="40" t="s">
        <v>104</v>
      </c>
    </row>
    <row r="24" spans="3:17" s="39" customFormat="1">
      <c r="C24" s="35"/>
      <c r="D24" s="36" t="s">
        <v>158</v>
      </c>
      <c r="E24" s="36" t="s">
        <v>159</v>
      </c>
      <c r="F24" s="36" t="s">
        <v>160</v>
      </c>
      <c r="G24" s="36" t="s">
        <v>95</v>
      </c>
      <c r="H24" s="37" t="s">
        <v>161</v>
      </c>
      <c r="I24" s="35" t="s">
        <v>155</v>
      </c>
      <c r="J24" s="35"/>
      <c r="K24" s="38" t="s">
        <v>86</v>
      </c>
      <c r="L24" s="39" t="s">
        <v>78</v>
      </c>
      <c r="M24" s="40" t="s">
        <v>161</v>
      </c>
      <c r="N24" s="41" t="s">
        <v>98</v>
      </c>
      <c r="O24" s="41">
        <v>359903</v>
      </c>
      <c r="P24" s="40" t="s">
        <v>162</v>
      </c>
      <c r="Q24" s="40" t="s">
        <v>104</v>
      </c>
    </row>
    <row r="25" spans="3:17" s="39" customFormat="1">
      <c r="C25" s="35"/>
      <c r="D25" s="36" t="s">
        <v>163</v>
      </c>
      <c r="E25" s="36" t="s">
        <v>164</v>
      </c>
      <c r="F25" s="36" t="s">
        <v>165</v>
      </c>
      <c r="G25" s="36" t="s">
        <v>95</v>
      </c>
      <c r="H25" s="37" t="s">
        <v>166</v>
      </c>
      <c r="I25" s="35" t="s">
        <v>155</v>
      </c>
      <c r="J25" s="35"/>
      <c r="K25" s="38" t="s">
        <v>86</v>
      </c>
      <c r="L25" s="39" t="s">
        <v>78</v>
      </c>
      <c r="M25" s="40" t="s">
        <v>167</v>
      </c>
      <c r="N25" s="42" t="s">
        <v>98</v>
      </c>
      <c r="O25" s="41">
        <v>268352</v>
      </c>
      <c r="P25" s="40" t="s">
        <v>168</v>
      </c>
      <c r="Q25" s="40" t="s">
        <v>169</v>
      </c>
    </row>
    <row r="26" spans="3:17" s="39" customFormat="1">
      <c r="C26" s="35"/>
      <c r="D26" s="36" t="s">
        <v>170</v>
      </c>
      <c r="E26" s="36" t="s">
        <v>153</v>
      </c>
      <c r="F26" s="36" t="s">
        <v>171</v>
      </c>
      <c r="G26" s="36" t="s">
        <v>95</v>
      </c>
      <c r="H26" s="37" t="s">
        <v>172</v>
      </c>
      <c r="I26" s="35" t="s">
        <v>173</v>
      </c>
      <c r="J26" s="35"/>
      <c r="K26" s="38" t="s">
        <v>86</v>
      </c>
      <c r="L26" s="39" t="s">
        <v>78</v>
      </c>
      <c r="M26" s="40" t="s">
        <v>172</v>
      </c>
      <c r="N26" s="41" t="s">
        <v>98</v>
      </c>
      <c r="O26" s="41">
        <v>272787</v>
      </c>
      <c r="P26" s="40" t="s">
        <v>174</v>
      </c>
      <c r="Q26" s="40" t="s">
        <v>175</v>
      </c>
    </row>
    <row r="27" spans="3:17" s="39" customFormat="1">
      <c r="C27" s="35"/>
      <c r="D27" s="36" t="s">
        <v>176</v>
      </c>
      <c r="E27" s="36" t="s">
        <v>177</v>
      </c>
      <c r="F27" s="36" t="s">
        <v>94</v>
      </c>
      <c r="G27" s="36" t="s">
        <v>95</v>
      </c>
      <c r="H27" s="37" t="s">
        <v>178</v>
      </c>
      <c r="I27" s="35" t="s">
        <v>155</v>
      </c>
      <c r="J27" s="35"/>
      <c r="K27" s="38" t="s">
        <v>86</v>
      </c>
      <c r="L27" s="39" t="s">
        <v>78</v>
      </c>
      <c r="M27" s="40" t="s">
        <v>178</v>
      </c>
      <c r="N27" s="41" t="s">
        <v>98</v>
      </c>
      <c r="O27" s="41">
        <v>428790</v>
      </c>
      <c r="P27" s="40" t="s">
        <v>179</v>
      </c>
      <c r="Q27" s="40" t="s">
        <v>116</v>
      </c>
    </row>
    <row r="28" spans="3:17" s="39" customFormat="1">
      <c r="C28" s="35"/>
      <c r="D28" s="36" t="s">
        <v>180</v>
      </c>
      <c r="E28" s="36" t="s">
        <v>181</v>
      </c>
      <c r="F28" s="36" t="s">
        <v>160</v>
      </c>
      <c r="G28" s="36" t="s">
        <v>95</v>
      </c>
      <c r="H28" s="37" t="s">
        <v>182</v>
      </c>
      <c r="I28" s="35" t="s">
        <v>183</v>
      </c>
      <c r="J28" s="35"/>
      <c r="K28" s="38" t="s">
        <v>86</v>
      </c>
      <c r="L28" s="39" t="s">
        <v>78</v>
      </c>
      <c r="M28" s="40" t="s">
        <v>182</v>
      </c>
      <c r="N28" s="41" t="s">
        <v>98</v>
      </c>
      <c r="O28" s="41">
        <v>465316</v>
      </c>
      <c r="P28" s="40" t="s">
        <v>184</v>
      </c>
      <c r="Q28" s="40" t="s">
        <v>185</v>
      </c>
    </row>
    <row r="29" spans="3:17" s="39" customFormat="1">
      <c r="C29" s="35"/>
      <c r="D29" s="36" t="s">
        <v>180</v>
      </c>
      <c r="E29" s="36" t="s">
        <v>181</v>
      </c>
      <c r="F29" s="36" t="s">
        <v>94</v>
      </c>
      <c r="G29" s="36" t="s">
        <v>95</v>
      </c>
      <c r="H29" s="37" t="s">
        <v>182</v>
      </c>
      <c r="I29" s="35" t="s">
        <v>183</v>
      </c>
      <c r="J29" s="35"/>
      <c r="K29" s="38" t="s">
        <v>86</v>
      </c>
      <c r="L29" s="39" t="s">
        <v>78</v>
      </c>
      <c r="M29" s="40" t="s">
        <v>182</v>
      </c>
      <c r="N29" s="41" t="s">
        <v>98</v>
      </c>
      <c r="O29" s="41">
        <v>465316</v>
      </c>
      <c r="P29" s="40" t="s">
        <v>184</v>
      </c>
      <c r="Q29" s="40" t="s">
        <v>186</v>
      </c>
    </row>
    <row r="30" spans="3:17" s="39" customFormat="1">
      <c r="C30" s="35"/>
      <c r="D30" s="36" t="s">
        <v>180</v>
      </c>
      <c r="E30" s="36" t="s">
        <v>181</v>
      </c>
      <c r="F30" s="36" t="s">
        <v>94</v>
      </c>
      <c r="G30" s="36" t="s">
        <v>95</v>
      </c>
      <c r="H30" s="37" t="s">
        <v>182</v>
      </c>
      <c r="I30" s="35" t="s">
        <v>183</v>
      </c>
      <c r="J30" s="35"/>
      <c r="K30" s="35"/>
      <c r="M30" s="40" t="s">
        <v>182</v>
      </c>
      <c r="N30" s="41" t="s">
        <v>98</v>
      </c>
      <c r="O30" s="41">
        <v>465316</v>
      </c>
      <c r="P30" s="40" t="s">
        <v>184</v>
      </c>
      <c r="Q30" s="40" t="s">
        <v>104</v>
      </c>
    </row>
    <row r="31" spans="3:17" s="39" customFormat="1">
      <c r="C31" s="35"/>
      <c r="D31" s="36" t="s">
        <v>180</v>
      </c>
      <c r="E31" s="36" t="s">
        <v>181</v>
      </c>
      <c r="F31" s="36" t="s">
        <v>94</v>
      </c>
      <c r="G31" s="36" t="s">
        <v>95</v>
      </c>
      <c r="H31" s="37" t="s">
        <v>182</v>
      </c>
      <c r="I31" s="35" t="s">
        <v>183</v>
      </c>
      <c r="J31" s="35"/>
      <c r="K31" s="35"/>
      <c r="M31" s="40" t="s">
        <v>182</v>
      </c>
      <c r="N31" s="41" t="s">
        <v>98</v>
      </c>
      <c r="O31" s="41">
        <v>449012</v>
      </c>
      <c r="P31" s="40" t="s">
        <v>187</v>
      </c>
      <c r="Q31" s="40" t="s">
        <v>185</v>
      </c>
    </row>
    <row r="32" spans="3:17" s="39" customFormat="1">
      <c r="C32" s="35"/>
      <c r="D32" s="36" t="s">
        <v>180</v>
      </c>
      <c r="E32" s="36" t="s">
        <v>181</v>
      </c>
      <c r="F32" s="36" t="s">
        <v>94</v>
      </c>
      <c r="G32" s="36" t="s">
        <v>95</v>
      </c>
      <c r="H32" s="37" t="s">
        <v>182</v>
      </c>
      <c r="I32" s="35" t="s">
        <v>183</v>
      </c>
      <c r="J32" s="35"/>
      <c r="K32" s="35"/>
      <c r="M32" s="40" t="s">
        <v>182</v>
      </c>
      <c r="N32" s="41" t="s">
        <v>98</v>
      </c>
      <c r="O32" s="41">
        <v>449012</v>
      </c>
      <c r="P32" s="40" t="s">
        <v>187</v>
      </c>
      <c r="Q32" s="40" t="s">
        <v>188</v>
      </c>
    </row>
    <row r="33" spans="3:17" s="39" customFormat="1">
      <c r="C33" s="35"/>
      <c r="D33" s="36" t="s">
        <v>180</v>
      </c>
      <c r="E33" s="36" t="s">
        <v>181</v>
      </c>
      <c r="F33" s="36" t="s">
        <v>94</v>
      </c>
      <c r="G33" s="36" t="s">
        <v>95</v>
      </c>
      <c r="H33" s="37" t="s">
        <v>182</v>
      </c>
      <c r="I33" s="35" t="s">
        <v>183</v>
      </c>
      <c r="J33" s="35"/>
      <c r="K33" s="35"/>
      <c r="M33" s="40" t="s">
        <v>182</v>
      </c>
      <c r="N33" s="41" t="s">
        <v>98</v>
      </c>
      <c r="O33" s="41">
        <v>449012</v>
      </c>
      <c r="P33" s="40" t="s">
        <v>187</v>
      </c>
      <c r="Q33" s="40" t="s">
        <v>104</v>
      </c>
    </row>
    <row r="34" spans="3:17" s="39" customFormat="1">
      <c r="C34" s="35"/>
      <c r="D34" s="36" t="s">
        <v>180</v>
      </c>
      <c r="E34" s="36" t="s">
        <v>189</v>
      </c>
      <c r="F34" s="36" t="s">
        <v>160</v>
      </c>
      <c r="G34" s="36" t="s">
        <v>95</v>
      </c>
      <c r="H34" s="37" t="s">
        <v>182</v>
      </c>
      <c r="I34" s="35" t="s">
        <v>183</v>
      </c>
      <c r="J34" s="35"/>
      <c r="K34" s="38" t="s">
        <v>86</v>
      </c>
      <c r="L34" s="39" t="s">
        <v>78</v>
      </c>
      <c r="M34" s="40" t="s">
        <v>182</v>
      </c>
      <c r="N34" s="41" t="s">
        <v>98</v>
      </c>
      <c r="O34" s="41">
        <v>465320</v>
      </c>
      <c r="P34" s="40" t="s">
        <v>190</v>
      </c>
      <c r="Q34" s="40" t="s">
        <v>185</v>
      </c>
    </row>
    <row r="35" spans="3:17" s="39" customFormat="1">
      <c r="C35" s="35"/>
      <c r="D35" s="36" t="s">
        <v>180</v>
      </c>
      <c r="E35" s="36" t="s">
        <v>189</v>
      </c>
      <c r="F35" s="36" t="s">
        <v>160</v>
      </c>
      <c r="G35" s="36" t="s">
        <v>95</v>
      </c>
      <c r="H35" s="37" t="s">
        <v>182</v>
      </c>
      <c r="I35" s="35" t="s">
        <v>183</v>
      </c>
      <c r="J35" s="35"/>
      <c r="K35" s="35"/>
      <c r="M35" s="40" t="s">
        <v>182</v>
      </c>
      <c r="N35" s="41" t="s">
        <v>98</v>
      </c>
      <c r="O35" s="41">
        <v>465320</v>
      </c>
      <c r="P35" s="40" t="s">
        <v>190</v>
      </c>
      <c r="Q35" s="40" t="s">
        <v>186</v>
      </c>
    </row>
    <row r="36" spans="3:17" s="39" customFormat="1">
      <c r="C36" s="35"/>
      <c r="D36" s="36" t="s">
        <v>180</v>
      </c>
      <c r="E36" s="36" t="s">
        <v>189</v>
      </c>
      <c r="F36" s="36" t="s">
        <v>160</v>
      </c>
      <c r="G36" s="36" t="s">
        <v>95</v>
      </c>
      <c r="H36" s="37" t="s">
        <v>182</v>
      </c>
      <c r="I36" s="35" t="s">
        <v>183</v>
      </c>
      <c r="J36" s="35"/>
      <c r="K36" s="35"/>
      <c r="M36" s="40" t="s">
        <v>182</v>
      </c>
      <c r="N36" s="41" t="s">
        <v>98</v>
      </c>
      <c r="O36" s="41">
        <v>465320</v>
      </c>
      <c r="P36" s="40" t="s">
        <v>190</v>
      </c>
      <c r="Q36" s="40" t="s">
        <v>104</v>
      </c>
    </row>
    <row r="37" spans="3:17" s="39" customFormat="1">
      <c r="C37" s="35"/>
      <c r="D37" s="36" t="s">
        <v>180</v>
      </c>
      <c r="E37" s="36" t="s">
        <v>189</v>
      </c>
      <c r="F37" s="36" t="s">
        <v>94</v>
      </c>
      <c r="G37" s="36" t="s">
        <v>95</v>
      </c>
      <c r="H37" s="37" t="s">
        <v>182</v>
      </c>
      <c r="I37" s="35" t="s">
        <v>183</v>
      </c>
      <c r="J37" s="35"/>
      <c r="K37" s="38" t="s">
        <v>86</v>
      </c>
      <c r="L37" s="39" t="s">
        <v>78</v>
      </c>
      <c r="M37" s="40" t="s">
        <v>182</v>
      </c>
      <c r="N37" s="41" t="s">
        <v>98</v>
      </c>
      <c r="O37" s="41">
        <v>449015</v>
      </c>
      <c r="P37" s="40" t="s">
        <v>191</v>
      </c>
      <c r="Q37" s="40" t="s">
        <v>186</v>
      </c>
    </row>
    <row r="38" spans="3:17" s="39" customFormat="1">
      <c r="C38" s="35"/>
      <c r="D38" s="36" t="s">
        <v>180</v>
      </c>
      <c r="E38" s="36" t="s">
        <v>189</v>
      </c>
      <c r="F38" s="36" t="s">
        <v>94</v>
      </c>
      <c r="G38" s="36" t="s">
        <v>95</v>
      </c>
      <c r="H38" s="37" t="s">
        <v>182</v>
      </c>
      <c r="I38" s="35" t="s">
        <v>183</v>
      </c>
      <c r="J38" s="35"/>
      <c r="K38" s="35"/>
      <c r="M38" s="40" t="s">
        <v>182</v>
      </c>
      <c r="N38" s="41" t="s">
        <v>98</v>
      </c>
      <c r="O38" s="41">
        <v>449015</v>
      </c>
      <c r="P38" s="40" t="s">
        <v>191</v>
      </c>
      <c r="Q38" s="40" t="s">
        <v>104</v>
      </c>
    </row>
    <row r="39" spans="3:17" s="39" customFormat="1">
      <c r="C39" s="35"/>
      <c r="D39" s="36" t="s">
        <v>180</v>
      </c>
      <c r="E39" s="36" t="s">
        <v>192</v>
      </c>
      <c r="F39" s="36" t="s">
        <v>160</v>
      </c>
      <c r="G39" s="36" t="s">
        <v>95</v>
      </c>
      <c r="H39" s="37" t="s">
        <v>182</v>
      </c>
      <c r="I39" s="35" t="s">
        <v>183</v>
      </c>
      <c r="J39" s="35"/>
      <c r="K39" s="38" t="s">
        <v>86</v>
      </c>
      <c r="L39" s="39" t="s">
        <v>78</v>
      </c>
      <c r="M39" s="40" t="s">
        <v>182</v>
      </c>
      <c r="N39" s="41" t="s">
        <v>98</v>
      </c>
      <c r="O39" s="41">
        <v>465317</v>
      </c>
      <c r="P39" s="40" t="s">
        <v>193</v>
      </c>
      <c r="Q39" s="40" t="s">
        <v>185</v>
      </c>
    </row>
    <row r="40" spans="3:17" s="39" customFormat="1">
      <c r="C40" s="35"/>
      <c r="D40" s="36" t="s">
        <v>180</v>
      </c>
      <c r="E40" s="36" t="s">
        <v>192</v>
      </c>
      <c r="F40" s="36" t="s">
        <v>160</v>
      </c>
      <c r="G40" s="36" t="s">
        <v>95</v>
      </c>
      <c r="H40" s="37" t="s">
        <v>182</v>
      </c>
      <c r="I40" s="35" t="s">
        <v>183</v>
      </c>
      <c r="J40" s="35"/>
      <c r="K40" s="35"/>
      <c r="M40" s="40" t="s">
        <v>182</v>
      </c>
      <c r="N40" s="41" t="s">
        <v>98</v>
      </c>
      <c r="O40" s="41">
        <v>465317</v>
      </c>
      <c r="P40" s="40" t="s">
        <v>193</v>
      </c>
      <c r="Q40" s="40" t="s">
        <v>186</v>
      </c>
    </row>
    <row r="41" spans="3:17" s="39" customFormat="1">
      <c r="C41" s="35"/>
      <c r="D41" s="36" t="s">
        <v>180</v>
      </c>
      <c r="E41" s="36" t="s">
        <v>192</v>
      </c>
      <c r="F41" s="36" t="s">
        <v>160</v>
      </c>
      <c r="G41" s="36" t="s">
        <v>95</v>
      </c>
      <c r="H41" s="37" t="s">
        <v>182</v>
      </c>
      <c r="I41" s="35" t="s">
        <v>183</v>
      </c>
      <c r="J41" s="35"/>
      <c r="K41" s="35"/>
      <c r="M41" s="40" t="s">
        <v>182</v>
      </c>
      <c r="N41" s="41" t="s">
        <v>98</v>
      </c>
      <c r="O41" s="41">
        <v>465317</v>
      </c>
      <c r="P41" s="40" t="s">
        <v>193</v>
      </c>
      <c r="Q41" s="40" t="s">
        <v>104</v>
      </c>
    </row>
    <row r="42" spans="3:17" s="39" customFormat="1">
      <c r="C42" s="35"/>
      <c r="D42" s="36" t="s">
        <v>180</v>
      </c>
      <c r="E42" s="36" t="s">
        <v>192</v>
      </c>
      <c r="F42" s="36" t="s">
        <v>94</v>
      </c>
      <c r="G42" s="36" t="s">
        <v>95</v>
      </c>
      <c r="H42" s="37" t="s">
        <v>182</v>
      </c>
      <c r="I42" s="35" t="s">
        <v>183</v>
      </c>
      <c r="J42" s="35"/>
      <c r="K42" s="38" t="s">
        <v>86</v>
      </c>
      <c r="L42" s="39" t="s">
        <v>78</v>
      </c>
      <c r="M42" s="40" t="s">
        <v>182</v>
      </c>
      <c r="N42" s="41" t="s">
        <v>98</v>
      </c>
      <c r="O42" s="41">
        <v>449013</v>
      </c>
      <c r="P42" s="40" t="s">
        <v>194</v>
      </c>
      <c r="Q42" s="40" t="s">
        <v>185</v>
      </c>
    </row>
    <row r="43" spans="3:17" s="39" customFormat="1">
      <c r="C43" s="35"/>
      <c r="D43" s="36" t="s">
        <v>180</v>
      </c>
      <c r="E43" s="36" t="s">
        <v>192</v>
      </c>
      <c r="F43" s="36" t="s">
        <v>94</v>
      </c>
      <c r="G43" s="36" t="s">
        <v>95</v>
      </c>
      <c r="H43" s="37" t="s">
        <v>182</v>
      </c>
      <c r="I43" s="35" t="s">
        <v>183</v>
      </c>
      <c r="J43" s="35"/>
      <c r="K43" s="35"/>
      <c r="M43" s="40" t="s">
        <v>182</v>
      </c>
      <c r="N43" s="41" t="s">
        <v>98</v>
      </c>
      <c r="O43" s="41">
        <v>449013</v>
      </c>
      <c r="P43" s="40" t="s">
        <v>194</v>
      </c>
      <c r="Q43" s="40" t="s">
        <v>186</v>
      </c>
    </row>
    <row r="44" spans="3:17" s="39" customFormat="1">
      <c r="C44" s="35"/>
      <c r="D44" s="36" t="s">
        <v>180</v>
      </c>
      <c r="E44" s="36" t="s">
        <v>192</v>
      </c>
      <c r="F44" s="36" t="s">
        <v>94</v>
      </c>
      <c r="G44" s="36" t="s">
        <v>95</v>
      </c>
      <c r="H44" s="37" t="s">
        <v>182</v>
      </c>
      <c r="I44" s="35" t="s">
        <v>183</v>
      </c>
      <c r="J44" s="35"/>
      <c r="K44" s="35"/>
      <c r="M44" s="40" t="s">
        <v>182</v>
      </c>
      <c r="N44" s="41" t="s">
        <v>98</v>
      </c>
      <c r="O44" s="41">
        <v>449013</v>
      </c>
      <c r="P44" s="40" t="s">
        <v>194</v>
      </c>
      <c r="Q44" s="40" t="s">
        <v>188</v>
      </c>
    </row>
    <row r="45" spans="3:17" s="39" customFormat="1">
      <c r="C45" s="35"/>
      <c r="D45" s="36" t="s">
        <v>180</v>
      </c>
      <c r="E45" s="36" t="s">
        <v>192</v>
      </c>
      <c r="F45" s="36" t="s">
        <v>94</v>
      </c>
      <c r="G45" s="36" t="s">
        <v>95</v>
      </c>
      <c r="H45" s="37" t="s">
        <v>182</v>
      </c>
      <c r="I45" s="35" t="s">
        <v>183</v>
      </c>
      <c r="J45" s="35"/>
      <c r="K45" s="35"/>
      <c r="M45" s="40" t="s">
        <v>182</v>
      </c>
      <c r="N45" s="41" t="s">
        <v>98</v>
      </c>
      <c r="O45" s="41">
        <v>449013</v>
      </c>
      <c r="P45" s="40" t="s">
        <v>194</v>
      </c>
      <c r="Q45" s="40" t="s">
        <v>104</v>
      </c>
    </row>
    <row r="46" spans="3:17" s="39" customFormat="1">
      <c r="C46" s="35"/>
      <c r="D46" s="36" t="s">
        <v>180</v>
      </c>
      <c r="E46" s="36" t="s">
        <v>195</v>
      </c>
      <c r="F46" s="36" t="s">
        <v>160</v>
      </c>
      <c r="G46" s="36" t="s">
        <v>95</v>
      </c>
      <c r="H46" s="37" t="s">
        <v>182</v>
      </c>
      <c r="I46" s="35" t="s">
        <v>183</v>
      </c>
      <c r="J46" s="35"/>
      <c r="K46" s="38" t="s">
        <v>86</v>
      </c>
      <c r="L46" s="39" t="s">
        <v>78</v>
      </c>
      <c r="M46" s="40" t="s">
        <v>182</v>
      </c>
      <c r="N46" s="41" t="s">
        <v>98</v>
      </c>
      <c r="O46" s="41">
        <v>465318</v>
      </c>
      <c r="P46" s="40" t="s">
        <v>196</v>
      </c>
      <c r="Q46" s="40" t="s">
        <v>185</v>
      </c>
    </row>
    <row r="47" spans="3:17" s="39" customFormat="1">
      <c r="C47" s="35"/>
      <c r="D47" s="36" t="s">
        <v>180</v>
      </c>
      <c r="E47" s="36" t="s">
        <v>195</v>
      </c>
      <c r="F47" s="36" t="s">
        <v>160</v>
      </c>
      <c r="G47" s="36" t="s">
        <v>95</v>
      </c>
      <c r="H47" s="37" t="s">
        <v>182</v>
      </c>
      <c r="I47" s="35" t="s">
        <v>183</v>
      </c>
      <c r="J47" s="35"/>
      <c r="K47" s="35"/>
      <c r="M47" s="40" t="s">
        <v>182</v>
      </c>
      <c r="N47" s="41" t="s">
        <v>98</v>
      </c>
      <c r="O47" s="41">
        <v>465318</v>
      </c>
      <c r="P47" s="40" t="s">
        <v>196</v>
      </c>
      <c r="Q47" s="40" t="s">
        <v>186</v>
      </c>
    </row>
    <row r="48" spans="3:17" s="39" customFormat="1">
      <c r="C48" s="35"/>
      <c r="D48" s="36" t="s">
        <v>180</v>
      </c>
      <c r="E48" s="36" t="s">
        <v>195</v>
      </c>
      <c r="F48" s="36" t="s">
        <v>160</v>
      </c>
      <c r="G48" s="36" t="s">
        <v>95</v>
      </c>
      <c r="H48" s="37" t="s">
        <v>182</v>
      </c>
      <c r="I48" s="35" t="s">
        <v>183</v>
      </c>
      <c r="J48" s="35"/>
      <c r="K48" s="35"/>
      <c r="M48" s="40" t="s">
        <v>182</v>
      </c>
      <c r="N48" s="41" t="s">
        <v>98</v>
      </c>
      <c r="O48" s="41">
        <v>465318</v>
      </c>
      <c r="P48" s="40" t="s">
        <v>196</v>
      </c>
      <c r="Q48" s="40" t="s">
        <v>104</v>
      </c>
    </row>
    <row r="49" spans="3:17" s="39" customFormat="1">
      <c r="C49" s="35"/>
      <c r="D49" s="36" t="s">
        <v>180</v>
      </c>
      <c r="E49" s="36" t="s">
        <v>195</v>
      </c>
      <c r="F49" s="36" t="s">
        <v>160</v>
      </c>
      <c r="G49" s="36" t="s">
        <v>95</v>
      </c>
      <c r="H49" s="37" t="s">
        <v>182</v>
      </c>
      <c r="I49" s="35" t="s">
        <v>183</v>
      </c>
      <c r="J49" s="35"/>
      <c r="K49" s="35"/>
      <c r="M49" s="40" t="s">
        <v>182</v>
      </c>
      <c r="N49" s="41" t="s">
        <v>98</v>
      </c>
      <c r="O49" s="41">
        <v>406520</v>
      </c>
      <c r="P49" s="40" t="s">
        <v>197</v>
      </c>
      <c r="Q49" s="40" t="s">
        <v>185</v>
      </c>
    </row>
    <row r="50" spans="3:17" s="39" customFormat="1">
      <c r="C50" s="35"/>
      <c r="D50" s="36" t="s">
        <v>180</v>
      </c>
      <c r="E50" s="36" t="s">
        <v>195</v>
      </c>
      <c r="F50" s="36" t="s">
        <v>94</v>
      </c>
      <c r="G50" s="36" t="s">
        <v>95</v>
      </c>
      <c r="H50" s="37" t="s">
        <v>182</v>
      </c>
      <c r="I50" s="35" t="s">
        <v>183</v>
      </c>
      <c r="J50" s="35"/>
      <c r="K50" s="38" t="s">
        <v>86</v>
      </c>
      <c r="L50" s="39" t="s">
        <v>78</v>
      </c>
      <c r="M50" s="40" t="s">
        <v>182</v>
      </c>
      <c r="N50" s="41" t="s">
        <v>98</v>
      </c>
      <c r="O50" s="41">
        <v>406520</v>
      </c>
      <c r="P50" s="40" t="s">
        <v>197</v>
      </c>
      <c r="Q50" s="40" t="s">
        <v>186</v>
      </c>
    </row>
    <row r="51" spans="3:17" s="39" customFormat="1">
      <c r="C51" s="35"/>
      <c r="D51" s="36" t="s">
        <v>180</v>
      </c>
      <c r="E51" s="36" t="s">
        <v>195</v>
      </c>
      <c r="F51" s="36" t="s">
        <v>94</v>
      </c>
      <c r="G51" s="36" t="s">
        <v>95</v>
      </c>
      <c r="H51" s="37" t="s">
        <v>182</v>
      </c>
      <c r="I51" s="35" t="s">
        <v>183</v>
      </c>
      <c r="J51" s="35"/>
      <c r="K51" s="35"/>
      <c r="M51" s="40" t="s">
        <v>182</v>
      </c>
      <c r="N51" s="41" t="s">
        <v>98</v>
      </c>
      <c r="O51" s="41">
        <v>406520</v>
      </c>
      <c r="P51" s="40" t="s">
        <v>197</v>
      </c>
      <c r="Q51" s="40" t="s">
        <v>104</v>
      </c>
    </row>
    <row r="52" spans="3:17" s="39" customFormat="1">
      <c r="C52" s="35"/>
      <c r="D52" s="36" t="s">
        <v>180</v>
      </c>
      <c r="E52" s="36" t="s">
        <v>198</v>
      </c>
      <c r="F52" s="36" t="s">
        <v>160</v>
      </c>
      <c r="G52" s="36" t="s">
        <v>95</v>
      </c>
      <c r="H52" s="37" t="s">
        <v>182</v>
      </c>
      <c r="I52" s="35" t="s">
        <v>183</v>
      </c>
      <c r="J52" s="35"/>
      <c r="K52" s="38" t="s">
        <v>86</v>
      </c>
      <c r="L52" s="39" t="s">
        <v>78</v>
      </c>
      <c r="M52" s="40" t="s">
        <v>182</v>
      </c>
      <c r="N52" s="41" t="s">
        <v>98</v>
      </c>
      <c r="O52" s="41">
        <v>465319</v>
      </c>
      <c r="P52" s="40" t="s">
        <v>199</v>
      </c>
      <c r="Q52" s="40" t="s">
        <v>185</v>
      </c>
    </row>
    <row r="53" spans="3:17" s="39" customFormat="1">
      <c r="C53" s="35"/>
      <c r="D53" s="36" t="s">
        <v>180</v>
      </c>
      <c r="E53" s="36" t="s">
        <v>198</v>
      </c>
      <c r="F53" s="36" t="s">
        <v>160</v>
      </c>
      <c r="G53" s="36" t="s">
        <v>95</v>
      </c>
      <c r="H53" s="37" t="s">
        <v>182</v>
      </c>
      <c r="I53" s="35" t="s">
        <v>183</v>
      </c>
      <c r="J53" s="35"/>
      <c r="K53" s="35"/>
      <c r="M53" s="40" t="s">
        <v>182</v>
      </c>
      <c r="N53" s="41" t="s">
        <v>98</v>
      </c>
      <c r="O53" s="41">
        <v>465319</v>
      </c>
      <c r="P53" s="40" t="s">
        <v>199</v>
      </c>
      <c r="Q53" s="40" t="s">
        <v>186</v>
      </c>
    </row>
    <row r="54" spans="3:17" s="39" customFormat="1">
      <c r="C54" s="35"/>
      <c r="D54" s="36" t="s">
        <v>180</v>
      </c>
      <c r="E54" s="36" t="s">
        <v>198</v>
      </c>
      <c r="F54" s="36" t="s">
        <v>160</v>
      </c>
      <c r="G54" s="36" t="s">
        <v>95</v>
      </c>
      <c r="H54" s="37" t="s">
        <v>182</v>
      </c>
      <c r="I54" s="35" t="s">
        <v>183</v>
      </c>
      <c r="J54" s="35"/>
      <c r="K54" s="35"/>
      <c r="M54" s="40" t="s">
        <v>182</v>
      </c>
      <c r="N54" s="41" t="s">
        <v>98</v>
      </c>
      <c r="O54" s="41">
        <v>465319</v>
      </c>
      <c r="P54" s="40" t="s">
        <v>199</v>
      </c>
      <c r="Q54" s="40" t="s">
        <v>104</v>
      </c>
    </row>
    <row r="55" spans="3:17" s="39" customFormat="1">
      <c r="C55" s="35"/>
      <c r="D55" s="36" t="s">
        <v>180</v>
      </c>
      <c r="E55" s="36" t="s">
        <v>198</v>
      </c>
      <c r="F55" s="36" t="s">
        <v>94</v>
      </c>
      <c r="G55" s="36" t="s">
        <v>95</v>
      </c>
      <c r="H55" s="37" t="s">
        <v>182</v>
      </c>
      <c r="I55" s="35" t="s">
        <v>183</v>
      </c>
      <c r="J55" s="35"/>
      <c r="K55" s="38" t="s">
        <v>86</v>
      </c>
      <c r="L55" s="39" t="s">
        <v>78</v>
      </c>
      <c r="M55" s="40" t="s">
        <v>182</v>
      </c>
      <c r="N55" s="41" t="s">
        <v>98</v>
      </c>
      <c r="O55" s="41">
        <v>449014</v>
      </c>
      <c r="P55" s="40" t="s">
        <v>200</v>
      </c>
      <c r="Q55" s="40" t="s">
        <v>185</v>
      </c>
    </row>
    <row r="56" spans="3:17" s="39" customFormat="1">
      <c r="C56" s="35"/>
      <c r="D56" s="36" t="s">
        <v>180</v>
      </c>
      <c r="E56" s="36" t="s">
        <v>198</v>
      </c>
      <c r="F56" s="36" t="s">
        <v>94</v>
      </c>
      <c r="G56" s="36" t="s">
        <v>95</v>
      </c>
      <c r="H56" s="37" t="s">
        <v>182</v>
      </c>
      <c r="I56" s="35" t="s">
        <v>183</v>
      </c>
      <c r="J56" s="35"/>
      <c r="K56" s="35"/>
      <c r="M56" s="40" t="s">
        <v>182</v>
      </c>
      <c r="N56" s="41" t="s">
        <v>98</v>
      </c>
      <c r="O56" s="41">
        <v>449014</v>
      </c>
      <c r="P56" s="40" t="s">
        <v>200</v>
      </c>
      <c r="Q56" s="40" t="s">
        <v>186</v>
      </c>
    </row>
    <row r="57" spans="3:17" s="39" customFormat="1">
      <c r="C57" s="35"/>
      <c r="D57" s="36" t="s">
        <v>180</v>
      </c>
      <c r="E57" s="36" t="s">
        <v>198</v>
      </c>
      <c r="F57" s="36" t="s">
        <v>94</v>
      </c>
      <c r="G57" s="36" t="s">
        <v>95</v>
      </c>
      <c r="H57" s="37" t="s">
        <v>182</v>
      </c>
      <c r="I57" s="35" t="s">
        <v>183</v>
      </c>
      <c r="J57" s="35"/>
      <c r="K57" s="35"/>
      <c r="M57" s="40" t="s">
        <v>182</v>
      </c>
      <c r="N57" s="41" t="s">
        <v>98</v>
      </c>
      <c r="O57" s="41">
        <v>449014</v>
      </c>
      <c r="P57" s="40" t="s">
        <v>200</v>
      </c>
      <c r="Q57" s="40" t="s">
        <v>104</v>
      </c>
    </row>
    <row r="58" spans="3:17" s="39" customFormat="1">
      <c r="C58" s="35"/>
      <c r="D58" s="36" t="s">
        <v>201</v>
      </c>
      <c r="E58" s="36" t="s">
        <v>202</v>
      </c>
      <c r="F58" s="36" t="s">
        <v>160</v>
      </c>
      <c r="G58" s="36" t="s">
        <v>95</v>
      </c>
      <c r="H58" s="37" t="s">
        <v>203</v>
      </c>
      <c r="I58" s="35" t="s">
        <v>155</v>
      </c>
      <c r="J58" s="35"/>
      <c r="K58" s="38" t="s">
        <v>86</v>
      </c>
      <c r="L58" s="39" t="s">
        <v>78</v>
      </c>
      <c r="M58" s="40" t="s">
        <v>203</v>
      </c>
      <c r="N58" s="41" t="s">
        <v>98</v>
      </c>
      <c r="O58" s="41">
        <v>391336</v>
      </c>
      <c r="P58" s="40" t="s">
        <v>204</v>
      </c>
      <c r="Q58" s="40" t="s">
        <v>104</v>
      </c>
    </row>
    <row r="59" spans="3:17" s="39" customFormat="1">
      <c r="C59" s="35"/>
      <c r="D59" s="36" t="s">
        <v>205</v>
      </c>
      <c r="E59" s="36" t="s">
        <v>206</v>
      </c>
      <c r="F59" s="36" t="s">
        <v>160</v>
      </c>
      <c r="G59" s="36" t="s">
        <v>95</v>
      </c>
      <c r="H59" s="37" t="s">
        <v>207</v>
      </c>
      <c r="I59" s="35" t="s">
        <v>155</v>
      </c>
      <c r="J59" s="35"/>
      <c r="K59" s="38" t="s">
        <v>86</v>
      </c>
      <c r="L59" s="39" t="s">
        <v>78</v>
      </c>
      <c r="M59" s="40" t="s">
        <v>207</v>
      </c>
      <c r="N59" s="41" t="s">
        <v>98</v>
      </c>
      <c r="O59" s="41">
        <v>394678</v>
      </c>
      <c r="P59" s="40" t="s">
        <v>208</v>
      </c>
      <c r="Q59" s="40" t="s">
        <v>104</v>
      </c>
    </row>
    <row r="60" spans="3:17" s="39" customFormat="1">
      <c r="C60" s="35"/>
      <c r="D60" s="36" t="s">
        <v>209</v>
      </c>
      <c r="E60" s="36" t="s">
        <v>210</v>
      </c>
      <c r="F60" s="36" t="s">
        <v>94</v>
      </c>
      <c r="G60" s="36" t="s">
        <v>95</v>
      </c>
      <c r="H60" s="37" t="s">
        <v>211</v>
      </c>
      <c r="I60" s="35" t="s">
        <v>155</v>
      </c>
      <c r="J60" s="35"/>
      <c r="K60" s="38" t="s">
        <v>86</v>
      </c>
      <c r="L60" s="39" t="s">
        <v>78</v>
      </c>
      <c r="M60" s="40" t="s">
        <v>211</v>
      </c>
      <c r="N60" s="41" t="s">
        <v>98</v>
      </c>
      <c r="O60" s="41">
        <v>451638</v>
      </c>
      <c r="P60" s="40" t="s">
        <v>212</v>
      </c>
      <c r="Q60" s="40" t="s">
        <v>116</v>
      </c>
    </row>
    <row r="61" spans="3:17" s="39" customFormat="1">
      <c r="C61" s="35"/>
      <c r="D61" s="36" t="s">
        <v>213</v>
      </c>
      <c r="E61" s="36" t="s">
        <v>214</v>
      </c>
      <c r="F61" s="36" t="s">
        <v>107</v>
      </c>
      <c r="G61" s="36" t="s">
        <v>95</v>
      </c>
      <c r="H61" s="37" t="s">
        <v>215</v>
      </c>
      <c r="I61" s="35" t="s">
        <v>97</v>
      </c>
      <c r="J61" s="35"/>
      <c r="K61" s="38" t="s">
        <v>86</v>
      </c>
      <c r="L61" s="39" t="s">
        <v>78</v>
      </c>
      <c r="M61" s="40" t="s">
        <v>215</v>
      </c>
      <c r="N61" s="41" t="s">
        <v>98</v>
      </c>
      <c r="O61" s="41">
        <v>473091</v>
      </c>
      <c r="P61" s="40" t="s">
        <v>216</v>
      </c>
      <c r="Q61" s="40" t="s">
        <v>111</v>
      </c>
    </row>
    <row r="62" spans="3:17" s="39" customFormat="1">
      <c r="C62" s="35"/>
      <c r="D62" s="36" t="s">
        <v>213</v>
      </c>
      <c r="E62" s="36" t="s">
        <v>217</v>
      </c>
      <c r="F62" s="36" t="s">
        <v>107</v>
      </c>
      <c r="G62" s="36" t="s">
        <v>95</v>
      </c>
      <c r="H62" s="37" t="s">
        <v>215</v>
      </c>
      <c r="I62" s="35" t="s">
        <v>97</v>
      </c>
      <c r="J62" s="35"/>
      <c r="K62" s="38" t="s">
        <v>86</v>
      </c>
      <c r="L62" s="39" t="s">
        <v>78</v>
      </c>
      <c r="M62" s="40" t="s">
        <v>215</v>
      </c>
      <c r="N62" s="41" t="s">
        <v>98</v>
      </c>
      <c r="O62" s="41">
        <v>472278</v>
      </c>
      <c r="P62" s="40" t="s">
        <v>218</v>
      </c>
      <c r="Q62" s="40" t="s">
        <v>111</v>
      </c>
    </row>
    <row r="63" spans="3:17" s="39" customFormat="1">
      <c r="C63" s="35"/>
      <c r="D63" s="36" t="s">
        <v>219</v>
      </c>
      <c r="E63" s="36" t="s">
        <v>220</v>
      </c>
      <c r="F63" s="36" t="s">
        <v>160</v>
      </c>
      <c r="G63" s="36" t="s">
        <v>95</v>
      </c>
      <c r="H63" s="37" t="s">
        <v>221</v>
      </c>
      <c r="I63" s="35" t="s">
        <v>155</v>
      </c>
      <c r="J63" s="35"/>
      <c r="K63" s="38" t="s">
        <v>86</v>
      </c>
      <c r="L63" s="39" t="s">
        <v>78</v>
      </c>
      <c r="M63" s="40" t="s">
        <v>222</v>
      </c>
      <c r="N63" s="42" t="s">
        <v>98</v>
      </c>
      <c r="O63" s="41">
        <v>284461</v>
      </c>
      <c r="P63" s="40" t="s">
        <v>223</v>
      </c>
      <c r="Q63" s="40"/>
    </row>
    <row r="64" spans="3:17" s="39" customFormat="1">
      <c r="C64" s="35"/>
      <c r="D64" s="36" t="s">
        <v>224</v>
      </c>
      <c r="E64" s="36" t="s">
        <v>225</v>
      </c>
      <c r="F64" s="36" t="s">
        <v>94</v>
      </c>
      <c r="G64" s="36" t="s">
        <v>95</v>
      </c>
      <c r="H64" s="37" t="s">
        <v>226</v>
      </c>
      <c r="I64" s="35" t="s">
        <v>97</v>
      </c>
      <c r="J64" s="35"/>
      <c r="K64" s="38" t="s">
        <v>86</v>
      </c>
      <c r="L64" s="39" t="s">
        <v>78</v>
      </c>
      <c r="M64" s="40" t="s">
        <v>226</v>
      </c>
      <c r="N64" s="41" t="s">
        <v>98</v>
      </c>
      <c r="O64" s="41">
        <v>448990</v>
      </c>
      <c r="P64" s="40" t="s">
        <v>227</v>
      </c>
      <c r="Q64" s="40" t="s">
        <v>131</v>
      </c>
    </row>
    <row r="65" spans="3:17" s="39" customFormat="1">
      <c r="C65" s="35"/>
      <c r="D65" s="36" t="s">
        <v>224</v>
      </c>
      <c r="E65" s="36" t="s">
        <v>228</v>
      </c>
      <c r="F65" s="36" t="s">
        <v>94</v>
      </c>
      <c r="G65" s="36" t="s">
        <v>95</v>
      </c>
      <c r="H65" s="37" t="s">
        <v>226</v>
      </c>
      <c r="I65" s="35" t="s">
        <v>97</v>
      </c>
      <c r="J65" s="35"/>
      <c r="K65" s="38" t="s">
        <v>86</v>
      </c>
      <c r="L65" s="39" t="s">
        <v>78</v>
      </c>
      <c r="M65" s="40" t="s">
        <v>226</v>
      </c>
      <c r="N65" s="41" t="s">
        <v>98</v>
      </c>
      <c r="O65" s="41">
        <v>394314</v>
      </c>
      <c r="P65" s="40" t="s">
        <v>229</v>
      </c>
      <c r="Q65" s="40" t="s">
        <v>104</v>
      </c>
    </row>
    <row r="66" spans="3:17" s="39" customFormat="1">
      <c r="C66" s="35"/>
      <c r="D66" s="36" t="s">
        <v>224</v>
      </c>
      <c r="E66" s="36" t="s">
        <v>230</v>
      </c>
      <c r="F66" s="36" t="s">
        <v>94</v>
      </c>
      <c r="G66" s="36" t="s">
        <v>95</v>
      </c>
      <c r="H66" s="37" t="s">
        <v>226</v>
      </c>
      <c r="I66" s="35" t="s">
        <v>97</v>
      </c>
      <c r="J66" s="35"/>
      <c r="K66" s="38" t="s">
        <v>86</v>
      </c>
      <c r="L66" s="39" t="s">
        <v>78</v>
      </c>
      <c r="M66" s="40" t="s">
        <v>226</v>
      </c>
      <c r="N66" s="41" t="s">
        <v>98</v>
      </c>
      <c r="O66" s="41">
        <v>448990</v>
      </c>
      <c r="P66" s="40" t="s">
        <v>231</v>
      </c>
      <c r="Q66" s="40" t="s">
        <v>131</v>
      </c>
    </row>
    <row r="67" spans="3:17" s="39" customFormat="1">
      <c r="C67" s="35"/>
      <c r="D67" s="36" t="s">
        <v>232</v>
      </c>
      <c r="E67" s="36" t="s">
        <v>233</v>
      </c>
      <c r="F67" s="36" t="s">
        <v>160</v>
      </c>
      <c r="G67" s="36" t="s">
        <v>95</v>
      </c>
      <c r="H67" s="37" t="s">
        <v>234</v>
      </c>
      <c r="I67" s="35" t="s">
        <v>97</v>
      </c>
      <c r="J67" s="35"/>
      <c r="K67" s="38" t="s">
        <v>86</v>
      </c>
      <c r="L67" s="39" t="s">
        <v>78</v>
      </c>
      <c r="M67" s="40" t="s">
        <v>234</v>
      </c>
      <c r="N67" s="41" t="s">
        <v>98</v>
      </c>
      <c r="O67" s="41">
        <v>394316</v>
      </c>
      <c r="P67" s="40" t="s">
        <v>235</v>
      </c>
      <c r="Q67" s="40" t="s">
        <v>104</v>
      </c>
    </row>
    <row r="68" spans="3:17" s="39" customFormat="1">
      <c r="C68" s="35"/>
      <c r="D68" s="36" t="s">
        <v>236</v>
      </c>
      <c r="E68" s="36" t="s">
        <v>237</v>
      </c>
      <c r="F68" s="36" t="s">
        <v>238</v>
      </c>
      <c r="G68" s="36" t="s">
        <v>95</v>
      </c>
      <c r="H68" s="37" t="s">
        <v>239</v>
      </c>
      <c r="I68" s="35" t="s">
        <v>240</v>
      </c>
      <c r="J68" s="35"/>
      <c r="K68" s="38" t="s">
        <v>86</v>
      </c>
      <c r="L68" s="39" t="s">
        <v>78</v>
      </c>
      <c r="M68" s="40" t="s">
        <v>239</v>
      </c>
      <c r="N68" s="41" t="s">
        <v>98</v>
      </c>
      <c r="O68" s="41">
        <v>271848</v>
      </c>
      <c r="P68" s="40" t="s">
        <v>241</v>
      </c>
      <c r="Q68" s="40" t="s">
        <v>242</v>
      </c>
    </row>
    <row r="69" spans="3:17" s="39" customFormat="1">
      <c r="C69" s="35"/>
      <c r="D69" s="36" t="s">
        <v>236</v>
      </c>
      <c r="E69" s="36" t="s">
        <v>237</v>
      </c>
      <c r="F69" s="36" t="s">
        <v>238</v>
      </c>
      <c r="G69" s="36" t="s">
        <v>95</v>
      </c>
      <c r="H69" s="37" t="s">
        <v>239</v>
      </c>
      <c r="I69" s="35" t="s">
        <v>240</v>
      </c>
      <c r="J69" s="35"/>
      <c r="K69" s="35"/>
      <c r="M69" s="40" t="s">
        <v>239</v>
      </c>
      <c r="N69" s="41" t="s">
        <v>98</v>
      </c>
      <c r="O69" s="41">
        <v>271848</v>
      </c>
      <c r="P69" s="40" t="s">
        <v>241</v>
      </c>
      <c r="Q69" s="40" t="s">
        <v>115</v>
      </c>
    </row>
    <row r="70" spans="3:17" s="39" customFormat="1">
      <c r="C70" s="35"/>
      <c r="D70" s="36" t="s">
        <v>236</v>
      </c>
      <c r="E70" s="36" t="s">
        <v>237</v>
      </c>
      <c r="F70" s="36" t="s">
        <v>238</v>
      </c>
      <c r="G70" s="36" t="s">
        <v>95</v>
      </c>
      <c r="H70" s="37" t="s">
        <v>239</v>
      </c>
      <c r="I70" s="35" t="s">
        <v>240</v>
      </c>
      <c r="J70" s="35"/>
      <c r="K70" s="35"/>
      <c r="M70" s="40" t="s">
        <v>239</v>
      </c>
      <c r="N70" s="41" t="s">
        <v>98</v>
      </c>
      <c r="O70" s="41">
        <v>271848</v>
      </c>
      <c r="P70" s="40" t="s">
        <v>241</v>
      </c>
      <c r="Q70" s="40" t="s">
        <v>116</v>
      </c>
    </row>
    <row r="71" spans="3:17" s="39" customFormat="1">
      <c r="C71" s="35"/>
      <c r="D71" s="36" t="s">
        <v>236</v>
      </c>
      <c r="E71" s="36" t="s">
        <v>237</v>
      </c>
      <c r="F71" s="36" t="s">
        <v>238</v>
      </c>
      <c r="G71" s="36" t="s">
        <v>95</v>
      </c>
      <c r="H71" s="37" t="s">
        <v>239</v>
      </c>
      <c r="I71" s="35" t="s">
        <v>240</v>
      </c>
      <c r="J71" s="35"/>
      <c r="K71" s="35"/>
      <c r="M71" s="40" t="s">
        <v>239</v>
      </c>
      <c r="N71" s="41" t="s">
        <v>98</v>
      </c>
      <c r="O71" s="41">
        <v>271848</v>
      </c>
      <c r="P71" s="40" t="s">
        <v>241</v>
      </c>
      <c r="Q71" s="40" t="s">
        <v>243</v>
      </c>
    </row>
    <row r="72" spans="3:17" s="39" customFormat="1">
      <c r="C72" s="35"/>
      <c r="D72" s="36" t="s">
        <v>244</v>
      </c>
      <c r="E72" s="36" t="s">
        <v>245</v>
      </c>
      <c r="F72" s="36" t="s">
        <v>246</v>
      </c>
      <c r="G72" s="36" t="s">
        <v>95</v>
      </c>
      <c r="H72" s="37" t="s">
        <v>247</v>
      </c>
      <c r="I72" s="35" t="s">
        <v>155</v>
      </c>
      <c r="J72" s="35"/>
      <c r="K72" s="38" t="s">
        <v>86</v>
      </c>
      <c r="L72" s="39" t="s">
        <v>78</v>
      </c>
      <c r="M72" s="40" t="s">
        <v>247</v>
      </c>
      <c r="N72" s="41" t="s">
        <v>98</v>
      </c>
      <c r="O72" s="41">
        <v>439450</v>
      </c>
      <c r="P72" s="40" t="s">
        <v>248</v>
      </c>
      <c r="Q72" s="40" t="s">
        <v>249</v>
      </c>
    </row>
    <row r="73" spans="3:17" s="39" customFormat="1">
      <c r="C73" s="35"/>
      <c r="D73" s="36" t="s">
        <v>250</v>
      </c>
      <c r="E73" s="36" t="s">
        <v>251</v>
      </c>
      <c r="F73" s="36" t="s">
        <v>252</v>
      </c>
      <c r="G73" s="36" t="s">
        <v>95</v>
      </c>
      <c r="H73" s="37" t="s">
        <v>253</v>
      </c>
      <c r="I73" s="35" t="s">
        <v>254</v>
      </c>
      <c r="J73" s="35"/>
      <c r="K73" s="38" t="s">
        <v>86</v>
      </c>
      <c r="L73" s="39" t="s">
        <v>78</v>
      </c>
      <c r="M73" s="40" t="s">
        <v>253</v>
      </c>
      <c r="N73" s="41" t="s">
        <v>98</v>
      </c>
      <c r="O73" s="41">
        <v>463161</v>
      </c>
      <c r="P73" s="40" t="s">
        <v>255</v>
      </c>
      <c r="Q73" s="40" t="s">
        <v>249</v>
      </c>
    </row>
    <row r="74" spans="3:17" s="39" customFormat="1">
      <c r="C74" s="35"/>
      <c r="D74" s="36" t="s">
        <v>250</v>
      </c>
      <c r="E74" s="36" t="s">
        <v>256</v>
      </c>
      <c r="F74" s="36" t="s">
        <v>252</v>
      </c>
      <c r="G74" s="36" t="s">
        <v>95</v>
      </c>
      <c r="H74" s="37" t="s">
        <v>253</v>
      </c>
      <c r="I74" s="35" t="s">
        <v>254</v>
      </c>
      <c r="J74" s="35"/>
      <c r="K74" s="38" t="s">
        <v>86</v>
      </c>
      <c r="L74" s="39" t="s">
        <v>78</v>
      </c>
      <c r="M74" s="40" t="s">
        <v>253</v>
      </c>
      <c r="N74" s="41" t="s">
        <v>98</v>
      </c>
      <c r="O74" s="41">
        <v>463160</v>
      </c>
      <c r="P74" s="40" t="s">
        <v>257</v>
      </c>
      <c r="Q74" s="40" t="s">
        <v>249</v>
      </c>
    </row>
    <row r="75" spans="3:17" s="39" customFormat="1">
      <c r="C75" s="35"/>
      <c r="D75" s="36" t="s">
        <v>250</v>
      </c>
      <c r="E75" s="36" t="s">
        <v>258</v>
      </c>
      <c r="F75" s="36" t="s">
        <v>252</v>
      </c>
      <c r="G75" s="36" t="s">
        <v>95</v>
      </c>
      <c r="H75" s="37" t="s">
        <v>253</v>
      </c>
      <c r="I75" s="35" t="s">
        <v>254</v>
      </c>
      <c r="J75" s="35"/>
      <c r="K75" s="38" t="s">
        <v>86</v>
      </c>
      <c r="L75" s="39" t="s">
        <v>78</v>
      </c>
      <c r="M75" s="40" t="s">
        <v>253</v>
      </c>
      <c r="N75" s="41" t="s">
        <v>98</v>
      </c>
      <c r="O75" s="41">
        <v>463159</v>
      </c>
      <c r="P75" s="40" t="s">
        <v>259</v>
      </c>
      <c r="Q75" s="40" t="s">
        <v>249</v>
      </c>
    </row>
    <row r="76" spans="3:17" s="39" customFormat="1">
      <c r="C76" s="35"/>
      <c r="D76" s="36" t="s">
        <v>260</v>
      </c>
      <c r="E76" s="36" t="s">
        <v>148</v>
      </c>
      <c r="F76" s="36" t="s">
        <v>94</v>
      </c>
      <c r="G76" s="36" t="s">
        <v>95</v>
      </c>
      <c r="H76" s="37" t="s">
        <v>261</v>
      </c>
      <c r="I76" s="35" t="s">
        <v>262</v>
      </c>
      <c r="J76" s="35"/>
      <c r="K76" s="38" t="s">
        <v>86</v>
      </c>
      <c r="L76" s="39" t="s">
        <v>78</v>
      </c>
      <c r="M76" s="40" t="s">
        <v>261</v>
      </c>
      <c r="N76" s="41" t="s">
        <v>98</v>
      </c>
      <c r="O76" s="41">
        <v>458858</v>
      </c>
      <c r="P76" s="40" t="s">
        <v>263</v>
      </c>
      <c r="Q76" s="40" t="s">
        <v>104</v>
      </c>
    </row>
    <row r="77" spans="3:17" s="39" customFormat="1">
      <c r="C77" s="35"/>
      <c r="D77" s="36" t="s">
        <v>260</v>
      </c>
      <c r="E77" s="36" t="s">
        <v>148</v>
      </c>
      <c r="F77" s="36" t="s">
        <v>94</v>
      </c>
      <c r="G77" s="36" t="s">
        <v>95</v>
      </c>
      <c r="H77" s="37" t="s">
        <v>261</v>
      </c>
      <c r="I77" s="35" t="s">
        <v>262</v>
      </c>
      <c r="J77" s="35"/>
      <c r="K77" s="35"/>
      <c r="M77" s="40" t="s">
        <v>261</v>
      </c>
      <c r="N77" s="41" t="s">
        <v>98</v>
      </c>
      <c r="O77" s="41">
        <v>458858</v>
      </c>
      <c r="P77" s="40" t="s">
        <v>263</v>
      </c>
      <c r="Q77" s="40" t="s">
        <v>186</v>
      </c>
    </row>
    <row r="78" spans="3:17" s="39" customFormat="1">
      <c r="C78" s="35"/>
      <c r="D78" s="36" t="s">
        <v>260</v>
      </c>
      <c r="E78" s="36" t="s">
        <v>264</v>
      </c>
      <c r="F78" s="36" t="s">
        <v>94</v>
      </c>
      <c r="G78" s="36" t="s">
        <v>95</v>
      </c>
      <c r="H78" s="37" t="s">
        <v>261</v>
      </c>
      <c r="I78" s="35" t="s">
        <v>262</v>
      </c>
      <c r="J78" s="35"/>
      <c r="K78" s="38" t="s">
        <v>86</v>
      </c>
      <c r="L78" s="39" t="s">
        <v>78</v>
      </c>
      <c r="M78" s="40" t="s">
        <v>261</v>
      </c>
      <c r="N78" s="41" t="s">
        <v>98</v>
      </c>
      <c r="O78" s="41">
        <v>458859</v>
      </c>
      <c r="P78" s="40" t="s">
        <v>265</v>
      </c>
      <c r="Q78" s="40" t="s">
        <v>104</v>
      </c>
    </row>
    <row r="79" spans="3:17" s="39" customFormat="1">
      <c r="C79" s="35"/>
      <c r="D79" s="36" t="s">
        <v>260</v>
      </c>
      <c r="E79" s="36" t="s">
        <v>264</v>
      </c>
      <c r="F79" s="36" t="s">
        <v>94</v>
      </c>
      <c r="G79" s="36" t="s">
        <v>95</v>
      </c>
      <c r="H79" s="37" t="s">
        <v>261</v>
      </c>
      <c r="I79" s="35" t="s">
        <v>262</v>
      </c>
      <c r="J79" s="35"/>
      <c r="K79" s="35"/>
      <c r="M79" s="40" t="s">
        <v>261</v>
      </c>
      <c r="N79" s="41" t="s">
        <v>98</v>
      </c>
      <c r="O79" s="41">
        <v>458859</v>
      </c>
      <c r="P79" s="40" t="s">
        <v>265</v>
      </c>
      <c r="Q79" s="40" t="s">
        <v>186</v>
      </c>
    </row>
    <row r="80" spans="3:17" s="39" customFormat="1">
      <c r="C80" s="35"/>
      <c r="D80" s="36" t="s">
        <v>260</v>
      </c>
      <c r="E80" s="36" t="s">
        <v>164</v>
      </c>
      <c r="F80" s="36" t="s">
        <v>94</v>
      </c>
      <c r="G80" s="36" t="s">
        <v>95</v>
      </c>
      <c r="H80" s="37" t="s">
        <v>261</v>
      </c>
      <c r="I80" s="35" t="s">
        <v>262</v>
      </c>
      <c r="J80" s="35"/>
      <c r="K80" s="38" t="s">
        <v>86</v>
      </c>
      <c r="L80" s="39" t="s">
        <v>78</v>
      </c>
      <c r="M80" s="40" t="s">
        <v>261</v>
      </c>
      <c r="N80" s="41" t="s">
        <v>98</v>
      </c>
      <c r="O80" s="41">
        <v>458860</v>
      </c>
      <c r="P80" s="40" t="s">
        <v>266</v>
      </c>
      <c r="Q80" s="40" t="s">
        <v>104</v>
      </c>
    </row>
    <row r="81" spans="3:17" s="39" customFormat="1">
      <c r="C81" s="35"/>
      <c r="D81" s="36" t="s">
        <v>260</v>
      </c>
      <c r="E81" s="36" t="s">
        <v>164</v>
      </c>
      <c r="F81" s="36" t="s">
        <v>94</v>
      </c>
      <c r="G81" s="36" t="s">
        <v>95</v>
      </c>
      <c r="H81" s="37" t="s">
        <v>261</v>
      </c>
      <c r="I81" s="35" t="s">
        <v>262</v>
      </c>
      <c r="J81" s="35"/>
      <c r="K81" s="35"/>
      <c r="M81" s="40" t="s">
        <v>261</v>
      </c>
      <c r="N81" s="41" t="s">
        <v>98</v>
      </c>
      <c r="O81" s="41">
        <v>458860</v>
      </c>
      <c r="P81" s="40" t="s">
        <v>266</v>
      </c>
      <c r="Q81" s="40" t="s">
        <v>186</v>
      </c>
    </row>
    <row r="82" spans="3:17" s="39" customFormat="1">
      <c r="C82" s="35"/>
      <c r="D82" s="36" t="s">
        <v>267</v>
      </c>
      <c r="E82" s="36" t="s">
        <v>268</v>
      </c>
      <c r="F82" s="36" t="s">
        <v>107</v>
      </c>
      <c r="G82" s="36" t="s">
        <v>95</v>
      </c>
      <c r="H82" s="37" t="s">
        <v>269</v>
      </c>
      <c r="I82" s="35" t="s">
        <v>270</v>
      </c>
      <c r="J82" s="35"/>
      <c r="K82" s="38" t="s">
        <v>86</v>
      </c>
      <c r="L82" s="39" t="s">
        <v>78</v>
      </c>
      <c r="M82" s="40" t="s">
        <v>269</v>
      </c>
      <c r="N82" s="41" t="s">
        <v>98</v>
      </c>
      <c r="O82" s="41">
        <v>268084</v>
      </c>
      <c r="P82" s="40" t="s">
        <v>271</v>
      </c>
      <c r="Q82" s="40" t="s">
        <v>111</v>
      </c>
    </row>
    <row r="83" spans="3:17" s="39" customFormat="1">
      <c r="C83" s="35"/>
      <c r="D83" s="36" t="s">
        <v>272</v>
      </c>
      <c r="E83" s="36" t="s">
        <v>273</v>
      </c>
      <c r="F83" s="36" t="s">
        <v>94</v>
      </c>
      <c r="G83" s="36" t="s">
        <v>95</v>
      </c>
      <c r="H83" s="37" t="s">
        <v>274</v>
      </c>
      <c r="I83" s="35" t="s">
        <v>97</v>
      </c>
      <c r="J83" s="35"/>
      <c r="K83" s="38" t="s">
        <v>86</v>
      </c>
      <c r="L83" s="39" t="s">
        <v>78</v>
      </c>
      <c r="M83" s="40" t="s">
        <v>274</v>
      </c>
      <c r="N83" s="41" t="s">
        <v>98</v>
      </c>
      <c r="O83" s="41">
        <v>414435</v>
      </c>
      <c r="P83" s="40" t="s">
        <v>275</v>
      </c>
      <c r="Q83" s="40" t="s">
        <v>100</v>
      </c>
    </row>
    <row r="84" spans="3:17" s="39" customFormat="1">
      <c r="C84" s="35"/>
      <c r="D84" s="36" t="s">
        <v>276</v>
      </c>
      <c r="E84" s="36" t="s">
        <v>120</v>
      </c>
      <c r="F84" s="36" t="s">
        <v>107</v>
      </c>
      <c r="G84" s="36" t="s">
        <v>95</v>
      </c>
      <c r="H84" s="37" t="s">
        <v>277</v>
      </c>
      <c r="I84" s="35" t="s">
        <v>270</v>
      </c>
      <c r="J84" s="35"/>
      <c r="K84" s="38" t="s">
        <v>86</v>
      </c>
      <c r="L84" s="39" t="s">
        <v>78</v>
      </c>
      <c r="M84" s="40" t="s">
        <v>277</v>
      </c>
      <c r="N84" s="41" t="s">
        <v>98</v>
      </c>
      <c r="O84" s="41">
        <v>319883</v>
      </c>
      <c r="P84" s="40" t="s">
        <v>278</v>
      </c>
      <c r="Q84" s="40" t="s">
        <v>111</v>
      </c>
    </row>
    <row r="85" spans="3:17" s="39" customFormat="1">
      <c r="C85" s="35"/>
      <c r="D85" s="36" t="s">
        <v>276</v>
      </c>
      <c r="E85" s="36" t="s">
        <v>279</v>
      </c>
      <c r="F85" s="36" t="s">
        <v>107</v>
      </c>
      <c r="G85" s="36" t="s">
        <v>95</v>
      </c>
      <c r="H85" s="37" t="s">
        <v>277</v>
      </c>
      <c r="I85" s="35" t="s">
        <v>270</v>
      </c>
      <c r="J85" s="35"/>
      <c r="K85" s="38" t="s">
        <v>86</v>
      </c>
      <c r="L85" s="39" t="s">
        <v>78</v>
      </c>
      <c r="M85" s="40" t="s">
        <v>277</v>
      </c>
      <c r="N85" s="41" t="s">
        <v>98</v>
      </c>
      <c r="O85" s="41">
        <v>273820</v>
      </c>
      <c r="P85" s="40" t="s">
        <v>280</v>
      </c>
      <c r="Q85" s="40" t="s">
        <v>111</v>
      </c>
    </row>
    <row r="86" spans="3:17" s="39" customFormat="1">
      <c r="C86" s="35"/>
      <c r="D86" s="36" t="s">
        <v>276</v>
      </c>
      <c r="E86" s="36" t="s">
        <v>159</v>
      </c>
      <c r="F86" s="36" t="s">
        <v>107</v>
      </c>
      <c r="G86" s="36" t="s">
        <v>95</v>
      </c>
      <c r="H86" s="37" t="s">
        <v>277</v>
      </c>
      <c r="I86" s="35" t="s">
        <v>270</v>
      </c>
      <c r="J86" s="35"/>
      <c r="K86" s="38" t="s">
        <v>86</v>
      </c>
      <c r="L86" s="39" t="s">
        <v>78</v>
      </c>
      <c r="M86" s="40" t="s">
        <v>277</v>
      </c>
      <c r="N86" s="41" t="s">
        <v>98</v>
      </c>
      <c r="O86" s="41">
        <v>273821</v>
      </c>
      <c r="P86" s="40" t="s">
        <v>281</v>
      </c>
      <c r="Q86" s="40" t="s">
        <v>111</v>
      </c>
    </row>
    <row r="87" spans="3:17" s="39" customFormat="1">
      <c r="C87" s="35"/>
      <c r="D87" s="36" t="s">
        <v>282</v>
      </c>
      <c r="E87" s="36" t="s">
        <v>283</v>
      </c>
      <c r="F87" s="36" t="s">
        <v>107</v>
      </c>
      <c r="G87" s="36" t="s">
        <v>95</v>
      </c>
      <c r="H87" s="37" t="s">
        <v>284</v>
      </c>
      <c r="I87" s="35" t="s">
        <v>97</v>
      </c>
      <c r="J87" s="35"/>
      <c r="K87" s="38" t="s">
        <v>86</v>
      </c>
      <c r="L87" s="39" t="s">
        <v>78</v>
      </c>
      <c r="M87" s="40" t="s">
        <v>285</v>
      </c>
      <c r="N87" s="42" t="s">
        <v>98</v>
      </c>
      <c r="O87" s="41">
        <v>450529</v>
      </c>
      <c r="P87" s="40" t="s">
        <v>286</v>
      </c>
      <c r="Q87" s="40" t="s">
        <v>287</v>
      </c>
    </row>
    <row r="88" spans="3:17" s="39" customFormat="1">
      <c r="C88" s="35"/>
      <c r="D88" s="36" t="s">
        <v>288</v>
      </c>
      <c r="E88" s="36" t="s">
        <v>140</v>
      </c>
      <c r="F88" s="36" t="s">
        <v>107</v>
      </c>
      <c r="G88" s="36" t="s">
        <v>95</v>
      </c>
      <c r="H88" s="37" t="s">
        <v>289</v>
      </c>
      <c r="I88" s="35" t="s">
        <v>109</v>
      </c>
      <c r="J88" s="35"/>
      <c r="K88" s="38" t="s">
        <v>86</v>
      </c>
      <c r="L88" s="39" t="s">
        <v>78</v>
      </c>
      <c r="M88" s="40" t="s">
        <v>289</v>
      </c>
      <c r="N88" s="42" t="s">
        <v>98</v>
      </c>
      <c r="O88" s="41">
        <v>304788</v>
      </c>
      <c r="P88" s="40" t="s">
        <v>290</v>
      </c>
      <c r="Q88" s="40" t="s">
        <v>111</v>
      </c>
    </row>
    <row r="89" spans="3:17" s="39" customFormat="1">
      <c r="C89" s="35"/>
      <c r="D89" s="36" t="s">
        <v>288</v>
      </c>
      <c r="E89" s="36" t="s">
        <v>132</v>
      </c>
      <c r="F89" s="36" t="s">
        <v>107</v>
      </c>
      <c r="G89" s="36" t="s">
        <v>95</v>
      </c>
      <c r="H89" s="37" t="s">
        <v>289</v>
      </c>
      <c r="I89" s="35" t="s">
        <v>109</v>
      </c>
      <c r="J89" s="35"/>
      <c r="K89" s="38" t="s">
        <v>86</v>
      </c>
      <c r="L89" s="39" t="s">
        <v>78</v>
      </c>
      <c r="M89" s="40" t="s">
        <v>289</v>
      </c>
      <c r="N89" s="42" t="s">
        <v>98</v>
      </c>
      <c r="O89" s="41">
        <v>304790</v>
      </c>
      <c r="P89" s="40" t="s">
        <v>291</v>
      </c>
      <c r="Q89" s="40" t="s">
        <v>111</v>
      </c>
    </row>
    <row r="90" spans="3:17" s="39" customFormat="1">
      <c r="C90" s="35"/>
      <c r="D90" s="36" t="s">
        <v>292</v>
      </c>
      <c r="E90" s="36" t="s">
        <v>283</v>
      </c>
      <c r="F90" s="36" t="s">
        <v>107</v>
      </c>
      <c r="G90" s="36" t="s">
        <v>95</v>
      </c>
      <c r="H90" s="37" t="s">
        <v>293</v>
      </c>
      <c r="I90" s="35" t="s">
        <v>254</v>
      </c>
      <c r="J90" s="35"/>
      <c r="K90" s="38" t="s">
        <v>86</v>
      </c>
      <c r="L90" s="39" t="s">
        <v>78</v>
      </c>
      <c r="M90" s="40" t="s">
        <v>293</v>
      </c>
      <c r="N90" s="42" t="s">
        <v>98</v>
      </c>
      <c r="O90" s="41">
        <v>272786</v>
      </c>
      <c r="P90" s="40" t="s">
        <v>294</v>
      </c>
      <c r="Q90" s="40" t="s">
        <v>111</v>
      </c>
    </row>
    <row r="91" spans="3:17" s="39" customFormat="1">
      <c r="C91" s="35"/>
      <c r="D91" s="36" t="s">
        <v>292</v>
      </c>
      <c r="E91" s="36" t="s">
        <v>177</v>
      </c>
      <c r="F91" s="36" t="s">
        <v>107</v>
      </c>
      <c r="G91" s="36" t="s">
        <v>95</v>
      </c>
      <c r="H91" s="37" t="s">
        <v>293</v>
      </c>
      <c r="I91" s="35" t="s">
        <v>254</v>
      </c>
      <c r="J91" s="35"/>
      <c r="K91" s="38" t="s">
        <v>86</v>
      </c>
      <c r="L91" s="39" t="s">
        <v>78</v>
      </c>
      <c r="M91" s="40" t="s">
        <v>293</v>
      </c>
      <c r="N91" s="42" t="s">
        <v>98</v>
      </c>
      <c r="O91" s="41">
        <v>272785</v>
      </c>
      <c r="P91" s="40" t="s">
        <v>295</v>
      </c>
      <c r="Q91" s="40" t="s">
        <v>111</v>
      </c>
    </row>
    <row r="92" spans="3:17" s="39" customFormat="1">
      <c r="C92" s="35"/>
      <c r="D92" s="36" t="s">
        <v>296</v>
      </c>
      <c r="E92" s="36" t="s">
        <v>268</v>
      </c>
      <c r="F92" s="36" t="s">
        <v>246</v>
      </c>
      <c r="G92" s="36" t="s">
        <v>95</v>
      </c>
      <c r="H92" s="37" t="s">
        <v>297</v>
      </c>
      <c r="I92" s="35" t="s">
        <v>97</v>
      </c>
      <c r="J92" s="35"/>
      <c r="K92" s="38" t="s">
        <v>86</v>
      </c>
      <c r="L92" s="39" t="s">
        <v>78</v>
      </c>
      <c r="M92" s="40" t="s">
        <v>298</v>
      </c>
      <c r="N92" s="42" t="s">
        <v>98</v>
      </c>
      <c r="O92" s="41">
        <v>602611</v>
      </c>
      <c r="P92" s="40" t="s">
        <v>299</v>
      </c>
      <c r="Q92" s="40" t="s">
        <v>111</v>
      </c>
    </row>
    <row r="93" spans="3:17" s="39" customFormat="1">
      <c r="C93" s="35"/>
      <c r="D93" s="36" t="s">
        <v>300</v>
      </c>
      <c r="E93" s="36" t="s">
        <v>283</v>
      </c>
      <c r="F93" s="36" t="s">
        <v>107</v>
      </c>
      <c r="G93" s="36" t="s">
        <v>95</v>
      </c>
      <c r="H93" s="37" t="s">
        <v>301</v>
      </c>
      <c r="I93" s="35" t="s">
        <v>254</v>
      </c>
      <c r="J93" s="35"/>
      <c r="K93" s="38" t="s">
        <v>86</v>
      </c>
      <c r="L93" s="39" t="s">
        <v>78</v>
      </c>
      <c r="M93" s="40" t="s">
        <v>302</v>
      </c>
      <c r="N93" s="42" t="s">
        <v>98</v>
      </c>
      <c r="O93" s="41">
        <v>412094</v>
      </c>
      <c r="P93" s="40" t="s">
        <v>303</v>
      </c>
      <c r="Q93" s="40" t="s">
        <v>249</v>
      </c>
    </row>
    <row r="94" spans="3:17" s="39" customFormat="1">
      <c r="C94" s="35"/>
      <c r="D94" s="36" t="s">
        <v>304</v>
      </c>
      <c r="E94" s="36" t="s">
        <v>305</v>
      </c>
      <c r="F94" s="36" t="s">
        <v>107</v>
      </c>
      <c r="G94" s="36" t="s">
        <v>95</v>
      </c>
      <c r="H94" s="37" t="s">
        <v>306</v>
      </c>
      <c r="I94" s="35" t="s">
        <v>307</v>
      </c>
      <c r="J94" s="35"/>
      <c r="K94" s="38" t="s">
        <v>86</v>
      </c>
      <c r="L94" s="39" t="s">
        <v>78</v>
      </c>
      <c r="M94" s="40" t="s">
        <v>306</v>
      </c>
      <c r="N94" s="42" t="s">
        <v>98</v>
      </c>
      <c r="O94" s="41">
        <v>272083</v>
      </c>
      <c r="P94" s="40" t="s">
        <v>308</v>
      </c>
      <c r="Q94" s="40" t="s">
        <v>111</v>
      </c>
    </row>
    <row r="95" spans="3:17" s="39" customFormat="1">
      <c r="C95" s="35"/>
      <c r="D95" s="36" t="s">
        <v>304</v>
      </c>
      <c r="E95" s="36" t="s">
        <v>305</v>
      </c>
      <c r="F95" s="36" t="s">
        <v>107</v>
      </c>
      <c r="G95" s="36" t="s">
        <v>95</v>
      </c>
      <c r="H95" s="37" t="s">
        <v>306</v>
      </c>
      <c r="I95" s="35" t="s">
        <v>307</v>
      </c>
      <c r="J95" s="35"/>
      <c r="K95" s="35"/>
      <c r="M95" s="40" t="s">
        <v>309</v>
      </c>
      <c r="N95" s="42" t="s">
        <v>98</v>
      </c>
      <c r="O95" s="41">
        <v>292194</v>
      </c>
      <c r="P95" s="40" t="s">
        <v>310</v>
      </c>
      <c r="Q95" s="40" t="s">
        <v>185</v>
      </c>
    </row>
    <row r="96" spans="3:17" s="39" customFormat="1">
      <c r="C96" s="35"/>
      <c r="D96" s="36" t="s">
        <v>311</v>
      </c>
      <c r="E96" s="36" t="s">
        <v>124</v>
      </c>
      <c r="F96" s="36" t="s">
        <v>246</v>
      </c>
      <c r="G96" s="36" t="s">
        <v>95</v>
      </c>
      <c r="H96" s="37" t="s">
        <v>312</v>
      </c>
      <c r="I96" s="35" t="s">
        <v>254</v>
      </c>
      <c r="J96" s="35"/>
      <c r="K96" s="38" t="s">
        <v>86</v>
      </c>
      <c r="L96" s="39" t="s">
        <v>78</v>
      </c>
      <c r="M96" s="40" t="s">
        <v>313</v>
      </c>
      <c r="N96" s="42" t="s">
        <v>98</v>
      </c>
      <c r="O96" s="41">
        <v>602487</v>
      </c>
      <c r="P96" s="40" t="s">
        <v>314</v>
      </c>
      <c r="Q96" s="40" t="s">
        <v>111</v>
      </c>
    </row>
    <row r="97" spans="3:17" s="39" customFormat="1">
      <c r="C97" s="35"/>
      <c r="D97" s="36" t="s">
        <v>311</v>
      </c>
      <c r="E97" s="36" t="s">
        <v>315</v>
      </c>
      <c r="F97" s="36" t="s">
        <v>246</v>
      </c>
      <c r="G97" s="36" t="s">
        <v>95</v>
      </c>
      <c r="H97" s="37" t="s">
        <v>312</v>
      </c>
      <c r="I97" s="35" t="s">
        <v>254</v>
      </c>
      <c r="J97" s="35"/>
      <c r="K97" s="38" t="s">
        <v>86</v>
      </c>
      <c r="L97" s="39" t="s">
        <v>78</v>
      </c>
      <c r="M97" s="40" t="s">
        <v>316</v>
      </c>
      <c r="N97" s="42" t="s">
        <v>98</v>
      </c>
      <c r="O97" s="41">
        <v>267676</v>
      </c>
      <c r="P97" s="40" t="s">
        <v>317</v>
      </c>
      <c r="Q97" s="40" t="s">
        <v>111</v>
      </c>
    </row>
    <row r="98" spans="3:17" s="39" customFormat="1">
      <c r="C98" s="35"/>
      <c r="D98" s="36" t="s">
        <v>318</v>
      </c>
      <c r="E98" s="36" t="s">
        <v>319</v>
      </c>
      <c r="F98" s="36" t="s">
        <v>107</v>
      </c>
      <c r="G98" s="36" t="s">
        <v>95</v>
      </c>
      <c r="H98" s="37" t="s">
        <v>320</v>
      </c>
      <c r="I98" s="35" t="s">
        <v>254</v>
      </c>
      <c r="J98" s="35"/>
      <c r="K98" s="38" t="s">
        <v>86</v>
      </c>
      <c r="L98" s="39" t="s">
        <v>78</v>
      </c>
      <c r="M98" s="40" t="s">
        <v>320</v>
      </c>
      <c r="N98" s="42" t="s">
        <v>98</v>
      </c>
      <c r="O98" s="41">
        <v>272431</v>
      </c>
      <c r="P98" s="40" t="s">
        <v>321</v>
      </c>
      <c r="Q98" s="40" t="s">
        <v>111</v>
      </c>
    </row>
    <row r="99" spans="3:17" s="39" customFormat="1">
      <c r="C99" s="35"/>
      <c r="D99" s="36" t="s">
        <v>318</v>
      </c>
      <c r="E99" s="36" t="s">
        <v>279</v>
      </c>
      <c r="F99" s="36" t="s">
        <v>107</v>
      </c>
      <c r="G99" s="36" t="s">
        <v>95</v>
      </c>
      <c r="H99" s="37" t="s">
        <v>320</v>
      </c>
      <c r="I99" s="35" t="s">
        <v>254</v>
      </c>
      <c r="J99" s="35"/>
      <c r="K99" s="38" t="s">
        <v>86</v>
      </c>
      <c r="L99" s="39" t="s">
        <v>78</v>
      </c>
      <c r="M99" s="40" t="s">
        <v>320</v>
      </c>
      <c r="N99" s="42" t="s">
        <v>98</v>
      </c>
      <c r="O99" s="41">
        <v>272429</v>
      </c>
      <c r="P99" s="40" t="s">
        <v>322</v>
      </c>
      <c r="Q99" s="40" t="s">
        <v>111</v>
      </c>
    </row>
    <row r="100" spans="3:17" s="39" customFormat="1">
      <c r="C100" s="35"/>
      <c r="D100" s="36" t="s">
        <v>323</v>
      </c>
      <c r="E100" s="36" t="s">
        <v>324</v>
      </c>
      <c r="F100" s="36" t="s">
        <v>325</v>
      </c>
      <c r="G100" s="36" t="s">
        <v>95</v>
      </c>
      <c r="H100" s="37" t="s">
        <v>326</v>
      </c>
      <c r="I100" s="35" t="s">
        <v>327</v>
      </c>
      <c r="J100" s="35"/>
      <c r="K100" s="35"/>
      <c r="M100" s="40" t="s">
        <v>328</v>
      </c>
      <c r="N100" s="42" t="s">
        <v>98</v>
      </c>
      <c r="O100" s="41">
        <v>448985</v>
      </c>
      <c r="P100" s="40" t="s">
        <v>329</v>
      </c>
      <c r="Q100" s="40" t="s">
        <v>123</v>
      </c>
    </row>
    <row r="101" spans="3:17" s="39" customFormat="1">
      <c r="C101" s="35"/>
      <c r="D101" s="36" t="s">
        <v>323</v>
      </c>
      <c r="E101" s="36" t="s">
        <v>330</v>
      </c>
      <c r="F101" s="36" t="s">
        <v>325</v>
      </c>
      <c r="G101" s="36" t="s">
        <v>95</v>
      </c>
      <c r="H101" s="37" t="s">
        <v>326</v>
      </c>
      <c r="I101" s="35" t="s">
        <v>327</v>
      </c>
      <c r="J101" s="35"/>
      <c r="K101" s="35"/>
      <c r="M101" s="40" t="s">
        <v>331</v>
      </c>
      <c r="N101" s="42" t="s">
        <v>98</v>
      </c>
      <c r="O101" s="41">
        <v>448985</v>
      </c>
      <c r="P101" s="40" t="s">
        <v>329</v>
      </c>
      <c r="Q101" s="40" t="s">
        <v>332</v>
      </c>
    </row>
    <row r="102" spans="3:17" s="39" customFormat="1">
      <c r="C102" s="35"/>
      <c r="D102" s="36" t="s">
        <v>333</v>
      </c>
      <c r="E102" s="36" t="s">
        <v>334</v>
      </c>
      <c r="F102" s="36" t="s">
        <v>335</v>
      </c>
      <c r="G102" s="36" t="s">
        <v>95</v>
      </c>
      <c r="H102" s="37" t="s">
        <v>336</v>
      </c>
      <c r="I102" s="35" t="s">
        <v>307</v>
      </c>
      <c r="J102" s="35"/>
      <c r="K102" s="38" t="s">
        <v>86</v>
      </c>
      <c r="L102" s="39" t="s">
        <v>78</v>
      </c>
      <c r="M102" s="40" t="s">
        <v>336</v>
      </c>
      <c r="N102" s="42" t="s">
        <v>98</v>
      </c>
      <c r="O102" s="41">
        <v>325838</v>
      </c>
      <c r="P102" s="40" t="s">
        <v>337</v>
      </c>
      <c r="Q102" s="40" t="s">
        <v>111</v>
      </c>
    </row>
    <row r="103" spans="3:17" s="39" customFormat="1">
      <c r="C103" s="35"/>
      <c r="D103" s="36" t="s">
        <v>333</v>
      </c>
      <c r="E103" s="36" t="s">
        <v>101</v>
      </c>
      <c r="F103" s="36" t="s">
        <v>335</v>
      </c>
      <c r="G103" s="36" t="s">
        <v>95</v>
      </c>
      <c r="H103" s="37" t="s">
        <v>336</v>
      </c>
      <c r="I103" s="35" t="s">
        <v>307</v>
      </c>
      <c r="J103" s="35"/>
      <c r="K103" s="38" t="s">
        <v>86</v>
      </c>
      <c r="L103" s="39" t="s">
        <v>78</v>
      </c>
      <c r="M103" s="40" t="s">
        <v>336</v>
      </c>
      <c r="N103" s="42" t="s">
        <v>98</v>
      </c>
      <c r="O103" s="41">
        <v>325836</v>
      </c>
      <c r="P103" s="40" t="s">
        <v>338</v>
      </c>
      <c r="Q103" s="40" t="s">
        <v>111</v>
      </c>
    </row>
    <row r="104" spans="3:17" s="39" customFormat="1">
      <c r="C104" s="35"/>
      <c r="D104" s="36" t="s">
        <v>333</v>
      </c>
      <c r="E104" s="36" t="s">
        <v>339</v>
      </c>
      <c r="F104" s="36" t="s">
        <v>335</v>
      </c>
      <c r="G104" s="36" t="s">
        <v>95</v>
      </c>
      <c r="H104" s="37" t="s">
        <v>336</v>
      </c>
      <c r="I104" s="35" t="s">
        <v>307</v>
      </c>
      <c r="J104" s="35"/>
      <c r="K104" s="38" t="s">
        <v>86</v>
      </c>
      <c r="L104" s="39" t="s">
        <v>78</v>
      </c>
      <c r="M104" s="40" t="s">
        <v>336</v>
      </c>
      <c r="N104" s="42" t="s">
        <v>98</v>
      </c>
      <c r="O104" s="41">
        <v>325837</v>
      </c>
      <c r="P104" s="40" t="s">
        <v>340</v>
      </c>
      <c r="Q104" s="40" t="s">
        <v>111</v>
      </c>
    </row>
    <row r="105" spans="3:17" s="39" customFormat="1">
      <c r="C105" s="35"/>
      <c r="D105" s="36" t="s">
        <v>341</v>
      </c>
      <c r="E105" s="36" t="s">
        <v>342</v>
      </c>
      <c r="F105" s="36" t="s">
        <v>107</v>
      </c>
      <c r="G105" s="36" t="s">
        <v>95</v>
      </c>
      <c r="H105" s="37" t="s">
        <v>343</v>
      </c>
      <c r="I105" s="35" t="s">
        <v>254</v>
      </c>
      <c r="J105" s="35"/>
      <c r="K105" s="38" t="s">
        <v>86</v>
      </c>
      <c r="L105" s="39" t="s">
        <v>78</v>
      </c>
      <c r="M105" s="40" t="s">
        <v>343</v>
      </c>
      <c r="N105" s="42" t="s">
        <v>98</v>
      </c>
      <c r="O105" s="41">
        <v>272824</v>
      </c>
      <c r="P105" s="40" t="s">
        <v>344</v>
      </c>
      <c r="Q105" s="40" t="s">
        <v>111</v>
      </c>
    </row>
    <row r="106" spans="3:17" s="39" customFormat="1">
      <c r="C106" s="35"/>
      <c r="D106" s="36" t="s">
        <v>341</v>
      </c>
      <c r="E106" s="36" t="s">
        <v>345</v>
      </c>
      <c r="F106" s="36" t="s">
        <v>107</v>
      </c>
      <c r="G106" s="36" t="s">
        <v>95</v>
      </c>
      <c r="H106" s="37" t="s">
        <v>343</v>
      </c>
      <c r="I106" s="35" t="s">
        <v>254</v>
      </c>
      <c r="J106" s="35"/>
      <c r="K106" s="38" t="s">
        <v>86</v>
      </c>
      <c r="L106" s="39" t="s">
        <v>78</v>
      </c>
      <c r="M106" s="40" t="s">
        <v>343</v>
      </c>
      <c r="N106" s="42" t="s">
        <v>98</v>
      </c>
      <c r="O106" s="41">
        <v>272825</v>
      </c>
      <c r="P106" s="40" t="s">
        <v>346</v>
      </c>
      <c r="Q106" s="40" t="s">
        <v>111</v>
      </c>
    </row>
    <row r="107" spans="3:17" s="39" customFormat="1">
      <c r="C107" s="35"/>
      <c r="D107" s="36" t="s">
        <v>341</v>
      </c>
      <c r="E107" s="36" t="s">
        <v>347</v>
      </c>
      <c r="F107" s="36" t="s">
        <v>107</v>
      </c>
      <c r="G107" s="36" t="s">
        <v>95</v>
      </c>
      <c r="H107" s="37" t="s">
        <v>343</v>
      </c>
      <c r="I107" s="35" t="s">
        <v>254</v>
      </c>
      <c r="J107" s="35"/>
      <c r="K107" s="38" t="s">
        <v>86</v>
      </c>
      <c r="L107" s="39" t="s">
        <v>78</v>
      </c>
      <c r="M107" s="40" t="s">
        <v>343</v>
      </c>
      <c r="N107" s="42" t="s">
        <v>98</v>
      </c>
      <c r="O107" s="41">
        <v>272826</v>
      </c>
      <c r="P107" s="40" t="s">
        <v>348</v>
      </c>
      <c r="Q107" s="40" t="s">
        <v>111</v>
      </c>
    </row>
    <row r="108" spans="3:17" s="39" customFormat="1">
      <c r="C108" s="35"/>
      <c r="D108" s="36" t="s">
        <v>349</v>
      </c>
      <c r="E108" s="36" t="s">
        <v>101</v>
      </c>
      <c r="F108" s="36" t="s">
        <v>246</v>
      </c>
      <c r="G108" s="36" t="s">
        <v>95</v>
      </c>
      <c r="H108" s="37" t="s">
        <v>298</v>
      </c>
      <c r="I108" s="35" t="s">
        <v>155</v>
      </c>
      <c r="J108" s="35"/>
      <c r="K108" s="38" t="s">
        <v>86</v>
      </c>
      <c r="L108" s="39" t="s">
        <v>78</v>
      </c>
      <c r="M108" s="40" t="s">
        <v>350</v>
      </c>
      <c r="N108" s="42" t="s">
        <v>98</v>
      </c>
      <c r="O108" s="41">
        <v>476800</v>
      </c>
      <c r="P108" s="40" t="s">
        <v>351</v>
      </c>
      <c r="Q108" s="40" t="s">
        <v>249</v>
      </c>
    </row>
    <row r="109" spans="3:17" s="39" customFormat="1">
      <c r="C109" s="35"/>
      <c r="D109" s="36" t="s">
        <v>352</v>
      </c>
      <c r="E109" s="36" t="s">
        <v>148</v>
      </c>
      <c r="F109" s="36" t="s">
        <v>149</v>
      </c>
      <c r="G109" s="36" t="s">
        <v>95</v>
      </c>
      <c r="H109" s="37" t="s">
        <v>353</v>
      </c>
      <c r="I109" s="35" t="s">
        <v>97</v>
      </c>
      <c r="J109" s="35"/>
      <c r="K109" s="38" t="s">
        <v>86</v>
      </c>
      <c r="L109" s="39" t="s">
        <v>78</v>
      </c>
      <c r="M109" s="40" t="s">
        <v>353</v>
      </c>
      <c r="N109" s="42" t="s">
        <v>98</v>
      </c>
      <c r="O109" s="41">
        <v>368694</v>
      </c>
      <c r="P109" s="40" t="s">
        <v>354</v>
      </c>
      <c r="Q109" s="40" t="s">
        <v>355</v>
      </c>
    </row>
    <row r="110" spans="3:17" s="39" customFormat="1">
      <c r="C110" s="35"/>
      <c r="D110" s="36" t="s">
        <v>356</v>
      </c>
      <c r="E110" s="36" t="s">
        <v>357</v>
      </c>
      <c r="F110" s="36" t="s">
        <v>107</v>
      </c>
      <c r="G110" s="36" t="s">
        <v>95</v>
      </c>
      <c r="H110" s="37" t="s">
        <v>358</v>
      </c>
      <c r="I110" s="35" t="s">
        <v>173</v>
      </c>
      <c r="J110" s="35"/>
      <c r="K110" s="38" t="s">
        <v>86</v>
      </c>
      <c r="L110" s="39" t="s">
        <v>78</v>
      </c>
      <c r="M110" s="40" t="s">
        <v>359</v>
      </c>
      <c r="N110" s="42" t="s">
        <v>98</v>
      </c>
      <c r="O110" s="41">
        <v>479263</v>
      </c>
      <c r="P110" s="40" t="s">
        <v>360</v>
      </c>
      <c r="Q110" s="40" t="s">
        <v>104</v>
      </c>
    </row>
    <row r="111" spans="3:17" s="39" customFormat="1">
      <c r="C111" s="35"/>
      <c r="D111" s="36" t="s">
        <v>356</v>
      </c>
      <c r="E111" s="36" t="s">
        <v>361</v>
      </c>
      <c r="F111" s="36" t="s">
        <v>107</v>
      </c>
      <c r="G111" s="36" t="s">
        <v>95</v>
      </c>
      <c r="H111" s="37" t="s">
        <v>358</v>
      </c>
      <c r="I111" s="35" t="s">
        <v>173</v>
      </c>
      <c r="J111" s="35"/>
      <c r="K111" s="38" t="s">
        <v>86</v>
      </c>
      <c r="L111" s="39" t="s">
        <v>78</v>
      </c>
      <c r="M111" s="40" t="s">
        <v>297</v>
      </c>
      <c r="N111" s="42" t="s">
        <v>98</v>
      </c>
      <c r="O111" s="41">
        <v>275402</v>
      </c>
      <c r="P111" s="40" t="s">
        <v>362</v>
      </c>
      <c r="Q111" s="40" t="s">
        <v>363</v>
      </c>
    </row>
    <row r="112" spans="3:17" s="39" customFormat="1">
      <c r="C112" s="35"/>
      <c r="D112" s="36" t="s">
        <v>364</v>
      </c>
      <c r="E112" s="36" t="s">
        <v>365</v>
      </c>
      <c r="F112" s="36" t="s">
        <v>94</v>
      </c>
      <c r="G112" s="36" t="s">
        <v>95</v>
      </c>
      <c r="H112" s="37" t="s">
        <v>366</v>
      </c>
      <c r="I112" s="35" t="s">
        <v>183</v>
      </c>
      <c r="J112" s="35"/>
      <c r="K112" s="38" t="s">
        <v>86</v>
      </c>
      <c r="L112" s="39" t="s">
        <v>78</v>
      </c>
      <c r="M112" s="40" t="s">
        <v>366</v>
      </c>
      <c r="N112" s="42" t="s">
        <v>98</v>
      </c>
      <c r="O112" s="41">
        <v>448982</v>
      </c>
      <c r="P112" s="40" t="s">
        <v>367</v>
      </c>
      <c r="Q112" s="40" t="s">
        <v>145</v>
      </c>
    </row>
    <row r="113" spans="3:17" s="39" customFormat="1">
      <c r="C113" s="35"/>
      <c r="D113" s="36" t="s">
        <v>364</v>
      </c>
      <c r="E113" s="36" t="s">
        <v>368</v>
      </c>
      <c r="F113" s="36" t="s">
        <v>94</v>
      </c>
      <c r="G113" s="36" t="s">
        <v>95</v>
      </c>
      <c r="H113" s="37" t="s">
        <v>366</v>
      </c>
      <c r="I113" s="35" t="s">
        <v>183</v>
      </c>
      <c r="J113" s="35"/>
      <c r="K113" s="38" t="s">
        <v>86</v>
      </c>
      <c r="L113" s="39" t="s">
        <v>78</v>
      </c>
      <c r="M113" s="40" t="s">
        <v>366</v>
      </c>
      <c r="N113" s="41" t="s">
        <v>98</v>
      </c>
      <c r="O113" s="41">
        <v>448982</v>
      </c>
      <c r="P113" s="40" t="s">
        <v>367</v>
      </c>
      <c r="Q113" s="40" t="s">
        <v>369</v>
      </c>
    </row>
    <row r="114" spans="3:17" s="39" customFormat="1">
      <c r="C114" s="35"/>
      <c r="D114" s="36" t="s">
        <v>370</v>
      </c>
      <c r="E114" s="36" t="s">
        <v>273</v>
      </c>
      <c r="F114" s="36" t="s">
        <v>107</v>
      </c>
      <c r="G114" s="36" t="s">
        <v>95</v>
      </c>
      <c r="H114" s="37" t="s">
        <v>371</v>
      </c>
      <c r="I114" s="35" t="s">
        <v>254</v>
      </c>
      <c r="J114" s="35"/>
      <c r="K114" s="38" t="s">
        <v>86</v>
      </c>
      <c r="L114" s="39" t="s">
        <v>78</v>
      </c>
      <c r="M114" s="40" t="s">
        <v>371</v>
      </c>
      <c r="N114" s="41" t="s">
        <v>98</v>
      </c>
      <c r="O114" s="41">
        <v>272653</v>
      </c>
      <c r="P114" s="40" t="s">
        <v>372</v>
      </c>
      <c r="Q114" s="40" t="s">
        <v>111</v>
      </c>
    </row>
    <row r="115" spans="3:17" s="39" customFormat="1">
      <c r="C115" s="35"/>
      <c r="D115" s="36" t="s">
        <v>373</v>
      </c>
      <c r="E115" s="36" t="s">
        <v>279</v>
      </c>
      <c r="F115" s="36" t="s">
        <v>94</v>
      </c>
      <c r="G115" s="36" t="s">
        <v>95</v>
      </c>
      <c r="H115" s="37" t="s">
        <v>374</v>
      </c>
      <c r="I115" s="35" t="s">
        <v>97</v>
      </c>
      <c r="J115" s="35"/>
      <c r="K115" s="38" t="s">
        <v>86</v>
      </c>
      <c r="L115" s="39" t="s">
        <v>78</v>
      </c>
      <c r="M115" s="40" t="s">
        <v>374</v>
      </c>
      <c r="N115" s="41" t="s">
        <v>98</v>
      </c>
      <c r="O115" s="41">
        <v>469229</v>
      </c>
      <c r="P115" s="40" t="s">
        <v>375</v>
      </c>
      <c r="Q115" s="40" t="s">
        <v>104</v>
      </c>
    </row>
    <row r="116" spans="3:17" s="39" customFormat="1">
      <c r="C116" s="35"/>
      <c r="D116" s="36" t="s">
        <v>373</v>
      </c>
      <c r="E116" s="36" t="s">
        <v>279</v>
      </c>
      <c r="F116" s="36" t="s">
        <v>94</v>
      </c>
      <c r="G116" s="36" t="s">
        <v>95</v>
      </c>
      <c r="H116" s="37" t="s">
        <v>374</v>
      </c>
      <c r="I116" s="35" t="s">
        <v>97</v>
      </c>
      <c r="J116" s="35"/>
      <c r="K116" s="35"/>
      <c r="M116" s="40" t="s">
        <v>374</v>
      </c>
      <c r="N116" s="41" t="s">
        <v>98</v>
      </c>
      <c r="O116" s="41">
        <v>469229</v>
      </c>
      <c r="P116" s="40" t="s">
        <v>375</v>
      </c>
      <c r="Q116" s="40" t="s">
        <v>131</v>
      </c>
    </row>
    <row r="117" spans="3:17" s="39" customFormat="1">
      <c r="C117" s="35"/>
      <c r="D117" s="36" t="s">
        <v>373</v>
      </c>
      <c r="E117" s="36" t="s">
        <v>279</v>
      </c>
      <c r="F117" s="36" t="s">
        <v>94</v>
      </c>
      <c r="G117" s="36" t="s">
        <v>95</v>
      </c>
      <c r="H117" s="37" t="s">
        <v>374</v>
      </c>
      <c r="I117" s="35" t="s">
        <v>97</v>
      </c>
      <c r="J117" s="35"/>
      <c r="K117" s="35"/>
      <c r="M117" s="40" t="s">
        <v>374</v>
      </c>
      <c r="N117" s="41" t="s">
        <v>98</v>
      </c>
      <c r="O117" s="41">
        <v>469229</v>
      </c>
      <c r="P117" s="40" t="s">
        <v>375</v>
      </c>
      <c r="Q117" s="40" t="s">
        <v>123</v>
      </c>
    </row>
    <row r="118" spans="3:17" s="39" customFormat="1">
      <c r="C118" s="35"/>
      <c r="D118" s="36" t="s">
        <v>373</v>
      </c>
      <c r="E118" s="36" t="s">
        <v>159</v>
      </c>
      <c r="F118" s="36" t="s">
        <v>94</v>
      </c>
      <c r="G118" s="36" t="s">
        <v>95</v>
      </c>
      <c r="H118" s="37" t="s">
        <v>374</v>
      </c>
      <c r="I118" s="35" t="s">
        <v>97</v>
      </c>
      <c r="J118" s="35"/>
      <c r="K118" s="38" t="s">
        <v>86</v>
      </c>
      <c r="L118" s="39" t="s">
        <v>78</v>
      </c>
      <c r="M118" s="40" t="s">
        <v>374</v>
      </c>
      <c r="N118" s="41" t="s">
        <v>98</v>
      </c>
      <c r="O118" s="41">
        <v>448702</v>
      </c>
      <c r="P118" s="40" t="s">
        <v>376</v>
      </c>
      <c r="Q118" s="40" t="s">
        <v>131</v>
      </c>
    </row>
    <row r="119" spans="3:17" s="39" customFormat="1">
      <c r="C119" s="35"/>
      <c r="D119" s="36" t="s">
        <v>373</v>
      </c>
      <c r="E119" s="36" t="s">
        <v>159</v>
      </c>
      <c r="F119" s="36" t="s">
        <v>94</v>
      </c>
      <c r="G119" s="36" t="s">
        <v>95</v>
      </c>
      <c r="H119" s="37" t="s">
        <v>374</v>
      </c>
      <c r="I119" s="35" t="s">
        <v>97</v>
      </c>
      <c r="J119" s="35"/>
      <c r="K119" s="35"/>
      <c r="M119" s="40" t="s">
        <v>374</v>
      </c>
      <c r="N119" s="41" t="s">
        <v>98</v>
      </c>
      <c r="O119" s="41">
        <v>448702</v>
      </c>
      <c r="P119" s="40" t="s">
        <v>376</v>
      </c>
      <c r="Q119" s="40" t="s">
        <v>123</v>
      </c>
    </row>
    <row r="120" spans="3:17" s="39" customFormat="1">
      <c r="C120" s="35"/>
      <c r="D120" s="36" t="s">
        <v>377</v>
      </c>
      <c r="E120" s="36" t="s">
        <v>268</v>
      </c>
      <c r="F120" s="36" t="s">
        <v>107</v>
      </c>
      <c r="G120" s="36" t="s">
        <v>95</v>
      </c>
      <c r="H120" s="37" t="s">
        <v>378</v>
      </c>
      <c r="I120" s="35" t="s">
        <v>97</v>
      </c>
      <c r="J120" s="35"/>
      <c r="K120" s="38" t="s">
        <v>86</v>
      </c>
      <c r="L120" s="39" t="s">
        <v>78</v>
      </c>
      <c r="M120" s="40" t="s">
        <v>378</v>
      </c>
      <c r="N120" s="41" t="s">
        <v>98</v>
      </c>
      <c r="O120" s="41">
        <v>369176</v>
      </c>
      <c r="P120" s="40" t="s">
        <v>379</v>
      </c>
      <c r="Q120" s="40" t="s">
        <v>111</v>
      </c>
    </row>
    <row r="121" spans="3:17" s="39" customFormat="1">
      <c r="C121" s="35"/>
      <c r="D121" s="36" t="s">
        <v>377</v>
      </c>
      <c r="E121" s="36" t="s">
        <v>380</v>
      </c>
      <c r="F121" s="36" t="s">
        <v>107</v>
      </c>
      <c r="G121" s="36" t="s">
        <v>95</v>
      </c>
      <c r="H121" s="37" t="s">
        <v>378</v>
      </c>
      <c r="I121" s="35" t="s">
        <v>97</v>
      </c>
      <c r="J121" s="35"/>
      <c r="K121" s="38" t="s">
        <v>86</v>
      </c>
      <c r="L121" s="39" t="s">
        <v>78</v>
      </c>
      <c r="M121" s="40" t="s">
        <v>378</v>
      </c>
      <c r="N121" s="41" t="s">
        <v>98</v>
      </c>
      <c r="O121" s="41">
        <v>369178</v>
      </c>
      <c r="P121" s="40" t="s">
        <v>381</v>
      </c>
      <c r="Q121" s="40" t="s">
        <v>111</v>
      </c>
    </row>
    <row r="122" spans="3:17" s="39" customFormat="1">
      <c r="C122" s="35"/>
      <c r="D122" s="36" t="s">
        <v>377</v>
      </c>
      <c r="E122" s="36" t="s">
        <v>347</v>
      </c>
      <c r="F122" s="36" t="s">
        <v>107</v>
      </c>
      <c r="G122" s="36" t="s">
        <v>95</v>
      </c>
      <c r="H122" s="37" t="s">
        <v>378</v>
      </c>
      <c r="I122" s="35" t="s">
        <v>97</v>
      </c>
      <c r="J122" s="35"/>
      <c r="K122" s="38" t="s">
        <v>86</v>
      </c>
      <c r="L122" s="39" t="s">
        <v>78</v>
      </c>
      <c r="M122" s="40" t="s">
        <v>378</v>
      </c>
      <c r="N122" s="41" t="s">
        <v>98</v>
      </c>
      <c r="O122" s="41">
        <v>369179</v>
      </c>
      <c r="P122" s="40" t="s">
        <v>382</v>
      </c>
      <c r="Q122" s="40" t="s">
        <v>111</v>
      </c>
    </row>
    <row r="123" spans="3:17" s="39" customFormat="1">
      <c r="C123" s="35"/>
      <c r="D123" s="36" t="s">
        <v>383</v>
      </c>
      <c r="E123" s="36" t="s">
        <v>384</v>
      </c>
      <c r="F123" s="36" t="s">
        <v>94</v>
      </c>
      <c r="G123" s="36" t="s">
        <v>95</v>
      </c>
      <c r="H123" s="37" t="s">
        <v>385</v>
      </c>
      <c r="I123" s="35" t="s">
        <v>97</v>
      </c>
      <c r="J123" s="35"/>
      <c r="K123" s="38" t="s">
        <v>86</v>
      </c>
      <c r="L123" s="39" t="s">
        <v>78</v>
      </c>
      <c r="M123" s="40" t="s">
        <v>385</v>
      </c>
      <c r="N123" s="41" t="s">
        <v>98</v>
      </c>
      <c r="O123" s="41">
        <v>300412</v>
      </c>
      <c r="P123" s="40" t="s">
        <v>386</v>
      </c>
      <c r="Q123" s="40" t="s">
        <v>186</v>
      </c>
    </row>
    <row r="124" spans="3:17" s="39" customFormat="1">
      <c r="C124" s="35"/>
      <c r="D124" s="36" t="s">
        <v>383</v>
      </c>
      <c r="E124" s="36" t="s">
        <v>384</v>
      </c>
      <c r="F124" s="36" t="s">
        <v>94</v>
      </c>
      <c r="G124" s="36" t="s">
        <v>95</v>
      </c>
      <c r="H124" s="37" t="s">
        <v>385</v>
      </c>
      <c r="I124" s="35" t="s">
        <v>97</v>
      </c>
      <c r="J124" s="35"/>
      <c r="K124" s="35"/>
      <c r="M124" s="40" t="s">
        <v>385</v>
      </c>
      <c r="N124" s="41" t="s">
        <v>98</v>
      </c>
      <c r="O124" s="41">
        <v>300412</v>
      </c>
      <c r="P124" s="40" t="s">
        <v>386</v>
      </c>
      <c r="Q124" s="40" t="s">
        <v>131</v>
      </c>
    </row>
    <row r="125" spans="3:17" s="39" customFormat="1">
      <c r="C125" s="35"/>
      <c r="D125" s="36" t="s">
        <v>383</v>
      </c>
      <c r="E125" s="36" t="s">
        <v>384</v>
      </c>
      <c r="F125" s="36" t="s">
        <v>94</v>
      </c>
      <c r="G125" s="36" t="s">
        <v>95</v>
      </c>
      <c r="H125" s="37" t="s">
        <v>385</v>
      </c>
      <c r="I125" s="35" t="s">
        <v>97</v>
      </c>
      <c r="J125" s="35"/>
      <c r="K125" s="35"/>
      <c r="M125" s="40" t="s">
        <v>385</v>
      </c>
      <c r="N125" s="41" t="s">
        <v>98</v>
      </c>
      <c r="O125" s="41">
        <v>300412</v>
      </c>
      <c r="P125" s="40" t="s">
        <v>386</v>
      </c>
      <c r="Q125" s="40" t="s">
        <v>100</v>
      </c>
    </row>
    <row r="126" spans="3:17" s="39" customFormat="1">
      <c r="C126" s="35"/>
      <c r="D126" s="36" t="s">
        <v>387</v>
      </c>
      <c r="E126" s="36" t="s">
        <v>127</v>
      </c>
      <c r="F126" s="36" t="s">
        <v>388</v>
      </c>
      <c r="G126" s="36" t="s">
        <v>95</v>
      </c>
      <c r="H126" s="37" t="s">
        <v>389</v>
      </c>
      <c r="I126" s="35" t="s">
        <v>97</v>
      </c>
      <c r="J126" s="35"/>
      <c r="K126" s="38" t="s">
        <v>86</v>
      </c>
      <c r="L126" s="39" t="s">
        <v>78</v>
      </c>
      <c r="M126" s="40" t="s">
        <v>389</v>
      </c>
      <c r="N126" s="41" t="s">
        <v>98</v>
      </c>
      <c r="O126" s="41">
        <v>437869</v>
      </c>
      <c r="P126" s="40" t="s">
        <v>390</v>
      </c>
      <c r="Q126" s="40" t="s">
        <v>249</v>
      </c>
    </row>
    <row r="127" spans="3:17" s="39" customFormat="1">
      <c r="C127" s="35"/>
      <c r="D127" s="36" t="s">
        <v>387</v>
      </c>
      <c r="E127" s="36" t="s">
        <v>391</v>
      </c>
      <c r="F127" s="36" t="s">
        <v>388</v>
      </c>
      <c r="G127" s="36" t="s">
        <v>95</v>
      </c>
      <c r="H127" s="37" t="s">
        <v>389</v>
      </c>
      <c r="I127" s="35" t="s">
        <v>97</v>
      </c>
      <c r="J127" s="35"/>
      <c r="K127" s="38" t="s">
        <v>86</v>
      </c>
      <c r="L127" s="39" t="s">
        <v>78</v>
      </c>
      <c r="M127" s="40" t="s">
        <v>389</v>
      </c>
      <c r="N127" s="41" t="s">
        <v>98</v>
      </c>
      <c r="O127" s="41">
        <v>437870</v>
      </c>
      <c r="P127" s="40" t="s">
        <v>392</v>
      </c>
      <c r="Q127" s="40" t="s">
        <v>249</v>
      </c>
    </row>
    <row r="128" spans="3:17" s="39" customFormat="1">
      <c r="C128" s="35"/>
      <c r="D128" s="36" t="s">
        <v>393</v>
      </c>
      <c r="E128" s="36" t="s">
        <v>177</v>
      </c>
      <c r="F128" s="36" t="s">
        <v>94</v>
      </c>
      <c r="G128" s="36" t="s">
        <v>95</v>
      </c>
      <c r="H128" s="37" t="s">
        <v>394</v>
      </c>
      <c r="I128" s="35" t="s">
        <v>155</v>
      </c>
      <c r="J128" s="35"/>
      <c r="K128" s="38" t="s">
        <v>86</v>
      </c>
      <c r="L128" s="39" t="s">
        <v>78</v>
      </c>
      <c r="M128" s="40" t="s">
        <v>394</v>
      </c>
      <c r="N128" s="41" t="s">
        <v>98</v>
      </c>
      <c r="O128" s="41">
        <v>330537</v>
      </c>
      <c r="P128" s="40" t="s">
        <v>395</v>
      </c>
      <c r="Q128" s="40" t="s">
        <v>116</v>
      </c>
    </row>
    <row r="129" spans="3:17" s="39" customFormat="1">
      <c r="C129" s="35"/>
      <c r="D129" s="36" t="s">
        <v>396</v>
      </c>
      <c r="E129" s="36" t="s">
        <v>159</v>
      </c>
      <c r="F129" s="36" t="s">
        <v>94</v>
      </c>
      <c r="G129" s="36" t="s">
        <v>95</v>
      </c>
      <c r="H129" s="37" t="s">
        <v>397</v>
      </c>
      <c r="I129" s="35" t="s">
        <v>97</v>
      </c>
      <c r="J129" s="35"/>
      <c r="K129" s="38" t="s">
        <v>86</v>
      </c>
      <c r="L129" s="39" t="s">
        <v>78</v>
      </c>
      <c r="M129" s="40" t="s">
        <v>397</v>
      </c>
      <c r="N129" s="41" t="s">
        <v>98</v>
      </c>
      <c r="O129" s="41">
        <v>414431</v>
      </c>
      <c r="P129" s="40" t="s">
        <v>398</v>
      </c>
      <c r="Q129" s="40" t="s">
        <v>100</v>
      </c>
    </row>
    <row r="130" spans="3:17" s="39" customFormat="1">
      <c r="C130" s="35"/>
      <c r="D130" s="36" t="s">
        <v>396</v>
      </c>
      <c r="E130" s="36" t="s">
        <v>159</v>
      </c>
      <c r="F130" s="36" t="s">
        <v>94</v>
      </c>
      <c r="G130" s="36" t="s">
        <v>95</v>
      </c>
      <c r="H130" s="37" t="s">
        <v>397</v>
      </c>
      <c r="I130" s="35" t="s">
        <v>97</v>
      </c>
      <c r="J130" s="35"/>
      <c r="K130" s="35"/>
      <c r="M130" s="40" t="s">
        <v>397</v>
      </c>
      <c r="N130" s="41" t="s">
        <v>98</v>
      </c>
      <c r="O130" s="41">
        <v>414430</v>
      </c>
      <c r="P130" s="40" t="s">
        <v>399</v>
      </c>
      <c r="Q130" s="40" t="s">
        <v>100</v>
      </c>
    </row>
    <row r="131" spans="3:17" s="39" customFormat="1">
      <c r="C131" s="35"/>
      <c r="D131" s="36" t="s">
        <v>400</v>
      </c>
      <c r="E131" s="36" t="s">
        <v>319</v>
      </c>
      <c r="F131" s="36" t="s">
        <v>107</v>
      </c>
      <c r="G131" s="36" t="s">
        <v>95</v>
      </c>
      <c r="H131" s="37" t="s">
        <v>401</v>
      </c>
      <c r="I131" s="35" t="s">
        <v>254</v>
      </c>
      <c r="J131" s="35"/>
      <c r="K131" s="38" t="s">
        <v>86</v>
      </c>
      <c r="L131" s="39" t="s">
        <v>78</v>
      </c>
      <c r="M131" s="40" t="s">
        <v>401</v>
      </c>
      <c r="N131" s="41" t="s">
        <v>98</v>
      </c>
      <c r="O131" s="41">
        <v>272832</v>
      </c>
      <c r="P131" s="40" t="s">
        <v>402</v>
      </c>
      <c r="Q131" s="40" t="s">
        <v>111</v>
      </c>
    </row>
    <row r="132" spans="3:17" s="39" customFormat="1">
      <c r="C132" s="35"/>
      <c r="D132" s="36" t="s">
        <v>400</v>
      </c>
      <c r="E132" s="36" t="s">
        <v>273</v>
      </c>
      <c r="F132" s="36" t="s">
        <v>107</v>
      </c>
      <c r="G132" s="36" t="s">
        <v>95</v>
      </c>
      <c r="H132" s="37" t="s">
        <v>401</v>
      </c>
      <c r="I132" s="35" t="s">
        <v>254</v>
      </c>
      <c r="J132" s="35"/>
      <c r="K132" s="38" t="s">
        <v>86</v>
      </c>
      <c r="L132" s="39" t="s">
        <v>78</v>
      </c>
      <c r="M132" s="40" t="s">
        <v>401</v>
      </c>
      <c r="N132" s="41" t="s">
        <v>98</v>
      </c>
      <c r="O132" s="41">
        <v>272833</v>
      </c>
      <c r="P132" s="40" t="s">
        <v>403</v>
      </c>
      <c r="Q132" s="40" t="s">
        <v>111</v>
      </c>
    </row>
    <row r="133" spans="3:17" s="39" customFormat="1">
      <c r="C133" s="35"/>
      <c r="D133" s="36" t="s">
        <v>400</v>
      </c>
      <c r="E133" s="36" t="s">
        <v>279</v>
      </c>
      <c r="F133" s="36" t="s">
        <v>107</v>
      </c>
      <c r="G133" s="36" t="s">
        <v>95</v>
      </c>
      <c r="H133" s="37" t="s">
        <v>401</v>
      </c>
      <c r="I133" s="35" t="s">
        <v>254</v>
      </c>
      <c r="J133" s="35"/>
      <c r="K133" s="38" t="s">
        <v>86</v>
      </c>
      <c r="L133" s="39" t="s">
        <v>78</v>
      </c>
      <c r="M133" s="40" t="s">
        <v>401</v>
      </c>
      <c r="N133" s="41" t="s">
        <v>98</v>
      </c>
      <c r="O133" s="41">
        <v>272831</v>
      </c>
      <c r="P133" s="40" t="s">
        <v>404</v>
      </c>
      <c r="Q133" s="40" t="s">
        <v>111</v>
      </c>
    </row>
    <row r="134" spans="3:17" s="39" customFormat="1">
      <c r="C134" s="35"/>
      <c r="D134" s="36" t="s">
        <v>400</v>
      </c>
      <c r="E134" s="36" t="s">
        <v>405</v>
      </c>
      <c r="F134" s="36" t="s">
        <v>107</v>
      </c>
      <c r="G134" s="36" t="s">
        <v>95</v>
      </c>
      <c r="H134" s="37" t="s">
        <v>401</v>
      </c>
      <c r="I134" s="35" t="s">
        <v>254</v>
      </c>
      <c r="J134" s="35"/>
      <c r="K134" s="38" t="s">
        <v>86</v>
      </c>
      <c r="L134" s="39" t="s">
        <v>78</v>
      </c>
      <c r="M134" s="40" t="s">
        <v>401</v>
      </c>
      <c r="N134" s="41" t="s">
        <v>98</v>
      </c>
      <c r="O134" s="41">
        <v>449243</v>
      </c>
      <c r="P134" s="40" t="s">
        <v>406</v>
      </c>
      <c r="Q134" s="40" t="s">
        <v>111</v>
      </c>
    </row>
    <row r="135" spans="3:17" s="39" customFormat="1">
      <c r="C135" s="35"/>
      <c r="D135" s="36" t="s">
        <v>407</v>
      </c>
      <c r="E135" s="36" t="s">
        <v>210</v>
      </c>
      <c r="F135" s="36" t="s">
        <v>94</v>
      </c>
      <c r="G135" s="36" t="s">
        <v>95</v>
      </c>
      <c r="H135" s="37" t="s">
        <v>408</v>
      </c>
      <c r="I135" s="35" t="s">
        <v>155</v>
      </c>
      <c r="J135" s="35"/>
      <c r="K135" s="38" t="s">
        <v>86</v>
      </c>
      <c r="L135" s="39" t="s">
        <v>78</v>
      </c>
      <c r="M135" s="40" t="s">
        <v>408</v>
      </c>
      <c r="N135" s="41" t="s">
        <v>98</v>
      </c>
      <c r="O135" s="41">
        <v>332383</v>
      </c>
      <c r="P135" s="40" t="s">
        <v>409</v>
      </c>
      <c r="Q135" s="40" t="s">
        <v>242</v>
      </c>
    </row>
    <row r="136" spans="3:17" s="39" customFormat="1">
      <c r="C136" s="35"/>
      <c r="D136" s="36" t="s">
        <v>410</v>
      </c>
      <c r="E136" s="36" t="s">
        <v>206</v>
      </c>
      <c r="F136" s="36" t="s">
        <v>160</v>
      </c>
      <c r="G136" s="36" t="s">
        <v>95</v>
      </c>
      <c r="H136" s="37" t="s">
        <v>411</v>
      </c>
      <c r="I136" s="35" t="s">
        <v>155</v>
      </c>
      <c r="J136" s="35"/>
      <c r="K136" s="38" t="s">
        <v>86</v>
      </c>
      <c r="L136" s="39" t="s">
        <v>78</v>
      </c>
      <c r="M136" s="40" t="s">
        <v>411</v>
      </c>
      <c r="N136" s="41" t="s">
        <v>98</v>
      </c>
      <c r="O136" s="41">
        <v>383272</v>
      </c>
      <c r="P136" s="40" t="s">
        <v>412</v>
      </c>
      <c r="Q136" s="40" t="s">
        <v>104</v>
      </c>
    </row>
    <row r="137" spans="3:17" s="39" customFormat="1">
      <c r="C137" s="35"/>
      <c r="D137" s="36" t="s">
        <v>413</v>
      </c>
      <c r="E137" s="36" t="s">
        <v>414</v>
      </c>
      <c r="F137" s="36" t="s">
        <v>160</v>
      </c>
      <c r="G137" s="36" t="s">
        <v>95</v>
      </c>
      <c r="H137" s="37" t="s">
        <v>415</v>
      </c>
      <c r="I137" s="35" t="s">
        <v>327</v>
      </c>
      <c r="J137" s="35"/>
      <c r="K137" s="38" t="s">
        <v>86</v>
      </c>
      <c r="L137" s="39" t="s">
        <v>78</v>
      </c>
      <c r="M137" s="40" t="s">
        <v>415</v>
      </c>
      <c r="N137" s="41" t="s">
        <v>98</v>
      </c>
      <c r="O137" s="41">
        <v>455199</v>
      </c>
      <c r="P137" s="40" t="s">
        <v>416</v>
      </c>
      <c r="Q137" s="40" t="s">
        <v>104</v>
      </c>
    </row>
    <row r="138" spans="3:17" s="39" customFormat="1">
      <c r="C138" s="35"/>
      <c r="D138" s="36" t="s">
        <v>413</v>
      </c>
      <c r="E138" s="36" t="s">
        <v>414</v>
      </c>
      <c r="F138" s="36" t="s">
        <v>94</v>
      </c>
      <c r="G138" s="36" t="s">
        <v>95</v>
      </c>
      <c r="H138" s="37" t="s">
        <v>415</v>
      </c>
      <c r="I138" s="35" t="s">
        <v>327</v>
      </c>
      <c r="J138" s="35"/>
      <c r="K138" s="38" t="s">
        <v>86</v>
      </c>
      <c r="L138" s="39" t="s">
        <v>78</v>
      </c>
      <c r="M138" s="40" t="s">
        <v>415</v>
      </c>
      <c r="N138" s="41" t="s">
        <v>98</v>
      </c>
      <c r="O138" s="41">
        <v>455199</v>
      </c>
      <c r="P138" s="40" t="s">
        <v>416</v>
      </c>
      <c r="Q138" s="40" t="s">
        <v>417</v>
      </c>
    </row>
    <row r="139" spans="3:17" s="39" customFormat="1">
      <c r="C139" s="35"/>
      <c r="D139" s="36" t="s">
        <v>418</v>
      </c>
      <c r="E139" s="36" t="s">
        <v>319</v>
      </c>
      <c r="F139" s="36" t="s">
        <v>160</v>
      </c>
      <c r="G139" s="36" t="s">
        <v>95</v>
      </c>
      <c r="H139" s="37" t="s">
        <v>419</v>
      </c>
      <c r="I139" s="35" t="s">
        <v>97</v>
      </c>
      <c r="J139" s="35"/>
      <c r="K139" s="38" t="s">
        <v>86</v>
      </c>
      <c r="L139" s="39" t="s">
        <v>78</v>
      </c>
      <c r="M139" s="40" t="s">
        <v>419</v>
      </c>
      <c r="N139" s="41" t="s">
        <v>98</v>
      </c>
      <c r="O139" s="41">
        <v>333447</v>
      </c>
      <c r="P139" s="40" t="s">
        <v>420</v>
      </c>
      <c r="Q139" s="40" t="s">
        <v>104</v>
      </c>
    </row>
    <row r="140" spans="3:17" s="39" customFormat="1">
      <c r="C140" s="35"/>
      <c r="D140" s="36" t="s">
        <v>421</v>
      </c>
      <c r="E140" s="36" t="s">
        <v>422</v>
      </c>
      <c r="F140" s="36" t="s">
        <v>94</v>
      </c>
      <c r="G140" s="36" t="s">
        <v>95</v>
      </c>
      <c r="H140" s="37" t="s">
        <v>423</v>
      </c>
      <c r="I140" s="35" t="s">
        <v>155</v>
      </c>
      <c r="J140" s="35"/>
      <c r="K140" s="38" t="s">
        <v>86</v>
      </c>
      <c r="L140" s="39" t="s">
        <v>78</v>
      </c>
      <c r="M140" s="40" t="s">
        <v>423</v>
      </c>
      <c r="N140" s="41" t="s">
        <v>98</v>
      </c>
      <c r="O140" s="41">
        <v>468664</v>
      </c>
      <c r="P140" s="40" t="s">
        <v>424</v>
      </c>
      <c r="Q140" s="40" t="s">
        <v>425</v>
      </c>
    </row>
    <row r="141" spans="3:17" s="39" customFormat="1">
      <c r="C141" s="35"/>
      <c r="D141" s="36" t="s">
        <v>421</v>
      </c>
      <c r="E141" s="36" t="s">
        <v>426</v>
      </c>
      <c r="F141" s="36" t="s">
        <v>94</v>
      </c>
      <c r="G141" s="36" t="s">
        <v>95</v>
      </c>
      <c r="H141" s="37" t="s">
        <v>423</v>
      </c>
      <c r="I141" s="35" t="s">
        <v>155</v>
      </c>
      <c r="J141" s="35"/>
      <c r="K141" s="38" t="s">
        <v>86</v>
      </c>
      <c r="L141" s="39" t="s">
        <v>78</v>
      </c>
      <c r="M141" s="40" t="s">
        <v>423</v>
      </c>
      <c r="N141" s="41" t="s">
        <v>98</v>
      </c>
      <c r="O141" s="41" t="s">
        <v>427</v>
      </c>
      <c r="P141" s="40"/>
      <c r="Q141" s="40"/>
    </row>
    <row r="142" spans="3:17" s="39" customFormat="1">
      <c r="C142" s="35"/>
      <c r="D142" s="36" t="s">
        <v>428</v>
      </c>
      <c r="E142" s="36" t="s">
        <v>422</v>
      </c>
      <c r="F142" s="36" t="s">
        <v>94</v>
      </c>
      <c r="G142" s="36" t="s">
        <v>95</v>
      </c>
      <c r="H142" s="37" t="s">
        <v>429</v>
      </c>
      <c r="I142" s="35" t="s">
        <v>155</v>
      </c>
      <c r="J142" s="35"/>
      <c r="K142" s="38" t="s">
        <v>86</v>
      </c>
      <c r="L142" s="39" t="s">
        <v>78</v>
      </c>
      <c r="M142" s="40" t="s">
        <v>429</v>
      </c>
      <c r="N142" s="41" t="s">
        <v>98</v>
      </c>
      <c r="O142" s="41">
        <v>440255</v>
      </c>
      <c r="P142" s="40" t="s">
        <v>430</v>
      </c>
      <c r="Q142" s="40" t="s">
        <v>425</v>
      </c>
    </row>
    <row r="143" spans="3:17" s="39" customFormat="1">
      <c r="C143" s="35"/>
      <c r="D143" s="36" t="s">
        <v>431</v>
      </c>
      <c r="E143" s="36" t="s">
        <v>432</v>
      </c>
      <c r="F143" s="36" t="s">
        <v>107</v>
      </c>
      <c r="G143" s="36" t="s">
        <v>95</v>
      </c>
      <c r="H143" s="37" t="s">
        <v>433</v>
      </c>
      <c r="I143" s="35" t="s">
        <v>173</v>
      </c>
      <c r="J143" s="35"/>
      <c r="K143" s="38" t="s">
        <v>86</v>
      </c>
      <c r="L143" s="39" t="s">
        <v>78</v>
      </c>
      <c r="M143" s="40" t="s">
        <v>433</v>
      </c>
      <c r="N143" s="41" t="s">
        <v>98</v>
      </c>
      <c r="O143" s="41">
        <v>448290</v>
      </c>
      <c r="P143" s="40" t="s">
        <v>434</v>
      </c>
      <c r="Q143" s="40" t="s">
        <v>111</v>
      </c>
    </row>
    <row r="144" spans="3:17" s="39" customFormat="1">
      <c r="C144" s="35"/>
      <c r="D144" s="36" t="s">
        <v>435</v>
      </c>
      <c r="E144" s="36" t="s">
        <v>436</v>
      </c>
      <c r="F144" s="36" t="s">
        <v>94</v>
      </c>
      <c r="G144" s="36" t="s">
        <v>95</v>
      </c>
      <c r="H144" s="37" t="s">
        <v>437</v>
      </c>
      <c r="I144" s="35" t="s">
        <v>155</v>
      </c>
      <c r="J144" s="35"/>
      <c r="K144" s="38" t="s">
        <v>86</v>
      </c>
      <c r="L144" s="39" t="s">
        <v>78</v>
      </c>
      <c r="M144" s="40" t="s">
        <v>437</v>
      </c>
      <c r="N144" s="41" t="s">
        <v>98</v>
      </c>
      <c r="O144" s="41">
        <v>310761</v>
      </c>
      <c r="P144" s="40" t="s">
        <v>438</v>
      </c>
      <c r="Q144" s="40" t="s">
        <v>116</v>
      </c>
    </row>
    <row r="145" spans="3:17" s="39" customFormat="1">
      <c r="C145" s="35"/>
      <c r="D145" s="36" t="s">
        <v>439</v>
      </c>
      <c r="E145" s="36" t="s">
        <v>440</v>
      </c>
      <c r="F145" s="36" t="s">
        <v>238</v>
      </c>
      <c r="G145" s="36" t="s">
        <v>95</v>
      </c>
      <c r="H145" s="37" t="s">
        <v>441</v>
      </c>
      <c r="I145" s="35" t="s">
        <v>240</v>
      </c>
      <c r="J145" s="35"/>
      <c r="K145" s="38" t="s">
        <v>86</v>
      </c>
      <c r="L145" s="39" t="s">
        <v>78</v>
      </c>
      <c r="M145" s="40" t="s">
        <v>441</v>
      </c>
      <c r="N145" s="41" t="s">
        <v>98</v>
      </c>
      <c r="O145" s="41">
        <v>294417</v>
      </c>
      <c r="P145" s="40" t="s">
        <v>442</v>
      </c>
      <c r="Q145" s="40" t="s">
        <v>115</v>
      </c>
    </row>
    <row r="146" spans="3:17" s="39" customFormat="1">
      <c r="C146" s="35"/>
      <c r="D146" s="36" t="s">
        <v>439</v>
      </c>
      <c r="E146" s="36" t="s">
        <v>440</v>
      </c>
      <c r="F146" s="36" t="s">
        <v>238</v>
      </c>
      <c r="G146" s="36" t="s">
        <v>95</v>
      </c>
      <c r="H146" s="37" t="s">
        <v>441</v>
      </c>
      <c r="I146" s="35" t="s">
        <v>240</v>
      </c>
      <c r="J146" s="35"/>
      <c r="K146" s="35"/>
      <c r="M146" s="40" t="s">
        <v>441</v>
      </c>
      <c r="N146" s="41" t="s">
        <v>98</v>
      </c>
      <c r="O146" s="41">
        <v>294417</v>
      </c>
      <c r="P146" s="40" t="s">
        <v>442</v>
      </c>
      <c r="Q146" s="40" t="s">
        <v>116</v>
      </c>
    </row>
    <row r="147" spans="3:17" s="39" customFormat="1">
      <c r="C147" s="35"/>
      <c r="D147" s="36" t="s">
        <v>443</v>
      </c>
      <c r="E147" s="36" t="s">
        <v>120</v>
      </c>
      <c r="F147" s="36" t="s">
        <v>107</v>
      </c>
      <c r="G147" s="36" t="s">
        <v>95</v>
      </c>
      <c r="H147" s="37" t="s">
        <v>444</v>
      </c>
      <c r="I147" s="35" t="s">
        <v>97</v>
      </c>
      <c r="J147" s="35"/>
      <c r="K147" s="38" t="s">
        <v>86</v>
      </c>
      <c r="L147" s="39" t="s">
        <v>78</v>
      </c>
      <c r="M147" s="40" t="s">
        <v>444</v>
      </c>
      <c r="N147" s="41" t="s">
        <v>98</v>
      </c>
      <c r="O147" s="41">
        <v>268114</v>
      </c>
      <c r="P147" s="40" t="s">
        <v>445</v>
      </c>
      <c r="Q147" s="40" t="s">
        <v>111</v>
      </c>
    </row>
    <row r="148" spans="3:17" s="39" customFormat="1">
      <c r="C148" s="35"/>
      <c r="D148" s="36" t="s">
        <v>446</v>
      </c>
      <c r="E148" s="36" t="s">
        <v>447</v>
      </c>
      <c r="F148" s="36" t="s">
        <v>107</v>
      </c>
      <c r="G148" s="36" t="s">
        <v>95</v>
      </c>
      <c r="H148" s="37" t="s">
        <v>448</v>
      </c>
      <c r="I148" s="35" t="s">
        <v>254</v>
      </c>
      <c r="J148" s="35"/>
      <c r="K148" s="38" t="s">
        <v>86</v>
      </c>
      <c r="L148" s="39" t="s">
        <v>78</v>
      </c>
      <c r="M148" s="40" t="s">
        <v>448</v>
      </c>
      <c r="N148" s="41" t="s">
        <v>98</v>
      </c>
      <c r="O148" s="41">
        <v>429678</v>
      </c>
      <c r="P148" s="40" t="s">
        <v>449</v>
      </c>
      <c r="Q148" s="40" t="s">
        <v>111</v>
      </c>
    </row>
    <row r="149" spans="3:17" s="39" customFormat="1">
      <c r="C149" s="35"/>
      <c r="D149" s="36" t="s">
        <v>446</v>
      </c>
      <c r="E149" s="36" t="s">
        <v>450</v>
      </c>
      <c r="F149" s="36" t="s">
        <v>451</v>
      </c>
      <c r="G149" s="36" t="s">
        <v>95</v>
      </c>
      <c r="H149" s="37" t="s">
        <v>448</v>
      </c>
      <c r="I149" s="35" t="s">
        <v>254</v>
      </c>
      <c r="J149" s="35"/>
      <c r="K149" s="38" t="s">
        <v>86</v>
      </c>
      <c r="L149" s="39" t="s">
        <v>78</v>
      </c>
      <c r="M149" s="40" t="s">
        <v>448</v>
      </c>
      <c r="N149" s="41" t="s">
        <v>98</v>
      </c>
      <c r="O149" s="41">
        <v>352933</v>
      </c>
      <c r="P149" s="40" t="s">
        <v>452</v>
      </c>
      <c r="Q149" s="40" t="s">
        <v>417</v>
      </c>
    </row>
    <row r="150" spans="3:17" s="39" customFormat="1">
      <c r="C150" s="35"/>
      <c r="D150" s="36" t="s">
        <v>446</v>
      </c>
      <c r="E150" s="36" t="s">
        <v>450</v>
      </c>
      <c r="F150" s="36" t="s">
        <v>451</v>
      </c>
      <c r="G150" s="36" t="s">
        <v>95</v>
      </c>
      <c r="H150" s="37" t="s">
        <v>448</v>
      </c>
      <c r="I150" s="35" t="s">
        <v>254</v>
      </c>
      <c r="J150" s="35"/>
      <c r="K150" s="35"/>
      <c r="M150" s="40" t="s">
        <v>448</v>
      </c>
      <c r="N150" s="41" t="s">
        <v>98</v>
      </c>
      <c r="O150" s="41">
        <v>352933</v>
      </c>
      <c r="P150" s="40" t="s">
        <v>452</v>
      </c>
      <c r="Q150" s="40" t="s">
        <v>453</v>
      </c>
    </row>
    <row r="151" spans="3:17" s="39" customFormat="1">
      <c r="C151" s="35"/>
      <c r="D151" s="36" t="s">
        <v>446</v>
      </c>
      <c r="E151" s="36" t="s">
        <v>450</v>
      </c>
      <c r="F151" s="36" t="s">
        <v>451</v>
      </c>
      <c r="G151" s="36" t="s">
        <v>95</v>
      </c>
      <c r="H151" s="37" t="s">
        <v>448</v>
      </c>
      <c r="I151" s="35" t="s">
        <v>254</v>
      </c>
      <c r="J151" s="35"/>
      <c r="K151" s="35"/>
      <c r="M151" s="40" t="s">
        <v>448</v>
      </c>
      <c r="N151" s="41" t="s">
        <v>98</v>
      </c>
      <c r="O151" s="41">
        <v>352933</v>
      </c>
      <c r="P151" s="40" t="s">
        <v>452</v>
      </c>
      <c r="Q151" s="40" t="s">
        <v>454</v>
      </c>
    </row>
    <row r="152" spans="3:17" s="39" customFormat="1">
      <c r="C152" s="35"/>
      <c r="D152" s="36" t="s">
        <v>446</v>
      </c>
      <c r="E152" s="36" t="s">
        <v>101</v>
      </c>
      <c r="F152" s="36" t="s">
        <v>107</v>
      </c>
      <c r="G152" s="36" t="s">
        <v>95</v>
      </c>
      <c r="H152" s="37" t="s">
        <v>448</v>
      </c>
      <c r="I152" s="35" t="s">
        <v>254</v>
      </c>
      <c r="J152" s="35"/>
      <c r="K152" s="38" t="s">
        <v>86</v>
      </c>
      <c r="L152" s="39" t="s">
        <v>78</v>
      </c>
      <c r="M152" s="40" t="s">
        <v>448</v>
      </c>
      <c r="N152" s="41" t="s">
        <v>98</v>
      </c>
      <c r="O152" s="41">
        <v>285965</v>
      </c>
      <c r="P152" s="40" t="s">
        <v>455</v>
      </c>
      <c r="Q152" s="40" t="s">
        <v>111</v>
      </c>
    </row>
    <row r="153" spans="3:17" s="39" customFormat="1">
      <c r="C153" s="35"/>
      <c r="D153" s="36" t="s">
        <v>446</v>
      </c>
      <c r="E153" s="36" t="s">
        <v>339</v>
      </c>
      <c r="F153" s="36" t="s">
        <v>107</v>
      </c>
      <c r="G153" s="36" t="s">
        <v>95</v>
      </c>
      <c r="H153" s="37" t="s">
        <v>448</v>
      </c>
      <c r="I153" s="35" t="s">
        <v>254</v>
      </c>
      <c r="J153" s="35"/>
      <c r="K153" s="38" t="s">
        <v>86</v>
      </c>
      <c r="L153" s="39" t="s">
        <v>78</v>
      </c>
      <c r="M153" s="40" t="s">
        <v>448</v>
      </c>
      <c r="N153" s="41" t="s">
        <v>98</v>
      </c>
      <c r="O153" s="41">
        <v>285966</v>
      </c>
      <c r="P153" s="40" t="s">
        <v>456</v>
      </c>
      <c r="Q153" s="40" t="s">
        <v>111</v>
      </c>
    </row>
    <row r="154" spans="3:17" s="39" customFormat="1">
      <c r="C154" s="35"/>
      <c r="D154" s="36" t="s">
        <v>446</v>
      </c>
      <c r="E154" s="36" t="s">
        <v>457</v>
      </c>
      <c r="F154" s="36" t="s">
        <v>107</v>
      </c>
      <c r="G154" s="36" t="s">
        <v>95</v>
      </c>
      <c r="H154" s="37" t="s">
        <v>448</v>
      </c>
      <c r="I154" s="35" t="s">
        <v>254</v>
      </c>
      <c r="J154" s="35"/>
      <c r="K154" s="38" t="s">
        <v>86</v>
      </c>
      <c r="L154" s="39" t="s">
        <v>78</v>
      </c>
      <c r="M154" s="40" t="s">
        <v>448</v>
      </c>
      <c r="N154" s="41" t="s">
        <v>98</v>
      </c>
      <c r="O154" s="41">
        <v>437284</v>
      </c>
      <c r="P154" s="40" t="s">
        <v>458</v>
      </c>
      <c r="Q154" s="40" t="s">
        <v>111</v>
      </c>
    </row>
    <row r="155" spans="3:17" s="39" customFormat="1">
      <c r="C155" s="35"/>
      <c r="D155" s="36" t="s">
        <v>459</v>
      </c>
      <c r="E155" s="36" t="s">
        <v>347</v>
      </c>
      <c r="F155" s="36" t="s">
        <v>107</v>
      </c>
      <c r="G155" s="36" t="s">
        <v>95</v>
      </c>
      <c r="H155" s="37" t="s">
        <v>460</v>
      </c>
      <c r="I155" s="35" t="s">
        <v>254</v>
      </c>
      <c r="J155" s="35"/>
      <c r="K155" s="38" t="s">
        <v>86</v>
      </c>
      <c r="L155" s="39" t="s">
        <v>78</v>
      </c>
      <c r="M155" s="40" t="s">
        <v>461</v>
      </c>
      <c r="N155" s="41" t="s">
        <v>98</v>
      </c>
      <c r="O155" s="41">
        <v>607981</v>
      </c>
      <c r="P155" s="40" t="s">
        <v>462</v>
      </c>
      <c r="Q155" s="40" t="s">
        <v>104</v>
      </c>
    </row>
    <row r="156" spans="3:17" s="39" customFormat="1">
      <c r="C156" s="35"/>
      <c r="D156" s="36" t="s">
        <v>463</v>
      </c>
      <c r="E156" s="36" t="s">
        <v>245</v>
      </c>
      <c r="F156" s="36" t="s">
        <v>107</v>
      </c>
      <c r="G156" s="36" t="s">
        <v>95</v>
      </c>
      <c r="H156" s="37" t="s">
        <v>464</v>
      </c>
      <c r="I156" s="35" t="s">
        <v>97</v>
      </c>
      <c r="J156" s="35"/>
      <c r="K156" s="38" t="s">
        <v>86</v>
      </c>
      <c r="L156" s="39" t="s">
        <v>78</v>
      </c>
      <c r="M156" s="40" t="s">
        <v>464</v>
      </c>
      <c r="N156" s="41" t="s">
        <v>98</v>
      </c>
      <c r="O156" s="41">
        <v>270436</v>
      </c>
      <c r="P156" s="40" t="s">
        <v>465</v>
      </c>
      <c r="Q156" s="40" t="s">
        <v>111</v>
      </c>
    </row>
    <row r="157" spans="3:17" s="39" customFormat="1">
      <c r="C157" s="35"/>
      <c r="D157" s="36" t="s">
        <v>463</v>
      </c>
      <c r="E157" s="36" t="s">
        <v>466</v>
      </c>
      <c r="F157" s="36" t="s">
        <v>94</v>
      </c>
      <c r="G157" s="36" t="s">
        <v>95</v>
      </c>
      <c r="H157" s="37" t="s">
        <v>464</v>
      </c>
      <c r="I157" s="35" t="s">
        <v>97</v>
      </c>
      <c r="J157" s="35"/>
      <c r="K157" s="38" t="s">
        <v>86</v>
      </c>
      <c r="L157" s="39" t="s">
        <v>78</v>
      </c>
      <c r="M157" s="40" t="s">
        <v>464</v>
      </c>
      <c r="N157" s="41" t="s">
        <v>98</v>
      </c>
      <c r="O157" s="41">
        <v>292249</v>
      </c>
      <c r="P157" s="40" t="s">
        <v>467</v>
      </c>
      <c r="Q157" s="40" t="s">
        <v>188</v>
      </c>
    </row>
    <row r="158" spans="3:17" s="39" customFormat="1">
      <c r="C158" s="35"/>
      <c r="D158" s="36" t="s">
        <v>463</v>
      </c>
      <c r="E158" s="36" t="s">
        <v>466</v>
      </c>
      <c r="F158" s="36" t="s">
        <v>94</v>
      </c>
      <c r="G158" s="36" t="s">
        <v>95</v>
      </c>
      <c r="H158" s="37" t="s">
        <v>464</v>
      </c>
      <c r="I158" s="35" t="s">
        <v>97</v>
      </c>
      <c r="J158" s="35"/>
      <c r="K158" s="35"/>
      <c r="M158" s="40" t="s">
        <v>464</v>
      </c>
      <c r="N158" s="41" t="s">
        <v>98</v>
      </c>
      <c r="O158" s="41">
        <v>292249</v>
      </c>
      <c r="P158" s="40" t="s">
        <v>467</v>
      </c>
      <c r="Q158" s="40" t="s">
        <v>363</v>
      </c>
    </row>
    <row r="159" spans="3:17" s="39" customFormat="1">
      <c r="C159" s="35"/>
      <c r="D159" s="36" t="s">
        <v>468</v>
      </c>
      <c r="E159" s="36" t="s">
        <v>339</v>
      </c>
      <c r="F159" s="36" t="s">
        <v>107</v>
      </c>
      <c r="G159" s="36" t="s">
        <v>95</v>
      </c>
      <c r="H159" s="37" t="s">
        <v>469</v>
      </c>
      <c r="I159" s="35" t="s">
        <v>97</v>
      </c>
      <c r="J159" s="35"/>
      <c r="K159" s="38" t="s">
        <v>86</v>
      </c>
      <c r="L159" s="39" t="s">
        <v>78</v>
      </c>
      <c r="M159" s="40" t="s">
        <v>469</v>
      </c>
      <c r="N159" s="41" t="s">
        <v>98</v>
      </c>
      <c r="O159" s="41">
        <v>448579</v>
      </c>
      <c r="P159" s="40" t="s">
        <v>470</v>
      </c>
      <c r="Q159" s="40" t="s">
        <v>111</v>
      </c>
    </row>
    <row r="160" spans="3:17" s="39" customFormat="1">
      <c r="C160" s="35"/>
      <c r="D160" s="36" t="s">
        <v>471</v>
      </c>
      <c r="E160" s="36" t="s">
        <v>472</v>
      </c>
      <c r="F160" s="36" t="s">
        <v>107</v>
      </c>
      <c r="G160" s="36" t="s">
        <v>95</v>
      </c>
      <c r="H160" s="37" t="s">
        <v>469</v>
      </c>
      <c r="I160" s="35" t="s">
        <v>97</v>
      </c>
      <c r="J160" s="35"/>
      <c r="K160" s="38" t="s">
        <v>86</v>
      </c>
      <c r="L160" s="39" t="s">
        <v>78</v>
      </c>
      <c r="M160" s="40" t="s">
        <v>469</v>
      </c>
      <c r="N160" s="41" t="s">
        <v>98</v>
      </c>
      <c r="O160" s="41">
        <v>448576</v>
      </c>
      <c r="P160" s="40" t="s">
        <v>473</v>
      </c>
      <c r="Q160" s="40" t="s">
        <v>111</v>
      </c>
    </row>
    <row r="161" spans="3:17" s="39" customFormat="1">
      <c r="C161" s="35"/>
      <c r="D161" s="36" t="s">
        <v>471</v>
      </c>
      <c r="E161" s="36" t="s">
        <v>474</v>
      </c>
      <c r="F161" s="36" t="s">
        <v>107</v>
      </c>
      <c r="G161" s="36" t="s">
        <v>95</v>
      </c>
      <c r="H161" s="37" t="s">
        <v>469</v>
      </c>
      <c r="I161" s="35" t="s">
        <v>97</v>
      </c>
      <c r="J161" s="35"/>
      <c r="K161" s="38" t="s">
        <v>86</v>
      </c>
      <c r="L161" s="39" t="s">
        <v>78</v>
      </c>
      <c r="M161" s="40" t="s">
        <v>469</v>
      </c>
      <c r="N161" s="41" t="s">
        <v>98</v>
      </c>
      <c r="O161" s="41">
        <v>448577</v>
      </c>
      <c r="P161" s="40" t="s">
        <v>475</v>
      </c>
      <c r="Q161" s="40" t="s">
        <v>111</v>
      </c>
    </row>
    <row r="162" spans="3:17" s="39" customFormat="1">
      <c r="C162" s="35"/>
      <c r="D162" s="36" t="s">
        <v>476</v>
      </c>
      <c r="E162" s="36" t="s">
        <v>319</v>
      </c>
      <c r="F162" s="36" t="s">
        <v>246</v>
      </c>
      <c r="G162" s="36" t="s">
        <v>95</v>
      </c>
      <c r="H162" s="37" t="s">
        <v>477</v>
      </c>
      <c r="I162" s="35" t="s">
        <v>155</v>
      </c>
      <c r="J162" s="35"/>
      <c r="K162" s="38" t="s">
        <v>86</v>
      </c>
      <c r="L162" s="39" t="s">
        <v>78</v>
      </c>
      <c r="M162" s="40" t="s">
        <v>477</v>
      </c>
      <c r="N162" s="41" t="s">
        <v>98</v>
      </c>
      <c r="O162" s="41">
        <v>345001</v>
      </c>
      <c r="P162" s="40" t="s">
        <v>478</v>
      </c>
      <c r="Q162" s="40" t="s">
        <v>249</v>
      </c>
    </row>
    <row r="163" spans="3:17" s="39" customFormat="1">
      <c r="C163" s="35"/>
      <c r="D163" s="36" t="s">
        <v>479</v>
      </c>
      <c r="E163" s="36" t="s">
        <v>264</v>
      </c>
      <c r="F163" s="36" t="s">
        <v>94</v>
      </c>
      <c r="G163" s="36" t="s">
        <v>95</v>
      </c>
      <c r="H163" s="37" t="s">
        <v>480</v>
      </c>
      <c r="I163" s="35" t="s">
        <v>97</v>
      </c>
      <c r="J163" s="35"/>
      <c r="K163" s="38" t="s">
        <v>86</v>
      </c>
      <c r="L163" s="39" t="s">
        <v>78</v>
      </c>
      <c r="M163" s="40" t="s">
        <v>480</v>
      </c>
      <c r="N163" s="41" t="s">
        <v>98</v>
      </c>
      <c r="O163" s="41">
        <v>367664</v>
      </c>
      <c r="P163" s="40" t="s">
        <v>481</v>
      </c>
      <c r="Q163" s="40" t="s">
        <v>482</v>
      </c>
    </row>
    <row r="164" spans="3:17" s="39" customFormat="1">
      <c r="C164" s="35"/>
      <c r="D164" s="36" t="s">
        <v>483</v>
      </c>
      <c r="E164" s="36" t="s">
        <v>484</v>
      </c>
      <c r="F164" s="36" t="s">
        <v>94</v>
      </c>
      <c r="G164" s="36" t="s">
        <v>95</v>
      </c>
      <c r="H164" s="37" t="s">
        <v>485</v>
      </c>
      <c r="I164" s="35" t="s">
        <v>262</v>
      </c>
      <c r="J164" s="35"/>
      <c r="K164" s="38" t="s">
        <v>86</v>
      </c>
      <c r="L164" s="39" t="s">
        <v>78</v>
      </c>
      <c r="M164" s="40" t="s">
        <v>485</v>
      </c>
      <c r="N164" s="41" t="s">
        <v>98</v>
      </c>
      <c r="O164" s="41">
        <v>439252</v>
      </c>
      <c r="P164" s="40" t="s">
        <v>486</v>
      </c>
      <c r="Q164" s="40" t="s">
        <v>116</v>
      </c>
    </row>
    <row r="165" spans="3:17" s="39" customFormat="1">
      <c r="C165" s="35"/>
      <c r="D165" s="36" t="s">
        <v>487</v>
      </c>
      <c r="E165" s="36" t="s">
        <v>283</v>
      </c>
      <c r="F165" s="36" t="s">
        <v>107</v>
      </c>
      <c r="G165" s="36" t="s">
        <v>95</v>
      </c>
      <c r="H165" s="37" t="s">
        <v>488</v>
      </c>
      <c r="I165" s="35" t="s">
        <v>254</v>
      </c>
      <c r="J165" s="35"/>
      <c r="K165" s="38" t="s">
        <v>86</v>
      </c>
      <c r="L165" s="39" t="s">
        <v>78</v>
      </c>
      <c r="M165" s="40" t="s">
        <v>488</v>
      </c>
      <c r="N165" s="42" t="s">
        <v>98</v>
      </c>
      <c r="O165" s="41">
        <v>271621</v>
      </c>
      <c r="P165" s="40" t="s">
        <v>489</v>
      </c>
      <c r="Q165" s="40" t="s">
        <v>111</v>
      </c>
    </row>
    <row r="166" spans="3:17" s="39" customFormat="1">
      <c r="C166" s="35"/>
      <c r="D166" s="36" t="s">
        <v>487</v>
      </c>
      <c r="E166" s="36" t="s">
        <v>177</v>
      </c>
      <c r="F166" s="36" t="s">
        <v>107</v>
      </c>
      <c r="G166" s="36" t="s">
        <v>95</v>
      </c>
      <c r="H166" s="37" t="s">
        <v>488</v>
      </c>
      <c r="I166" s="35" t="s">
        <v>254</v>
      </c>
      <c r="J166" s="35"/>
      <c r="K166" s="38" t="s">
        <v>86</v>
      </c>
      <c r="L166" s="39" t="s">
        <v>78</v>
      </c>
      <c r="M166" s="40" t="s">
        <v>488</v>
      </c>
      <c r="N166" s="42" t="s">
        <v>98</v>
      </c>
      <c r="O166" s="41">
        <v>271620</v>
      </c>
      <c r="P166" s="40" t="s">
        <v>490</v>
      </c>
      <c r="Q166" s="40" t="s">
        <v>111</v>
      </c>
    </row>
    <row r="167" spans="3:17" s="39" customFormat="1">
      <c r="C167" s="35"/>
      <c r="D167" s="36" t="s">
        <v>491</v>
      </c>
      <c r="E167" s="36" t="s">
        <v>492</v>
      </c>
      <c r="F167" s="36" t="s">
        <v>493</v>
      </c>
      <c r="G167" s="36" t="s">
        <v>95</v>
      </c>
      <c r="H167" s="37" t="s">
        <v>494</v>
      </c>
      <c r="I167" s="35" t="s">
        <v>262</v>
      </c>
      <c r="J167" s="35"/>
      <c r="K167" s="38" t="s">
        <v>86</v>
      </c>
      <c r="L167" s="39" t="s">
        <v>78</v>
      </c>
      <c r="M167" s="40" t="s">
        <v>495</v>
      </c>
      <c r="N167" s="42" t="s">
        <v>98</v>
      </c>
      <c r="O167" s="41">
        <v>465391</v>
      </c>
      <c r="P167" s="40" t="s">
        <v>496</v>
      </c>
      <c r="Q167" s="40" t="s">
        <v>111</v>
      </c>
    </row>
    <row r="168" spans="3:17" s="39" customFormat="1">
      <c r="C168" s="35"/>
      <c r="D168" s="36" t="s">
        <v>491</v>
      </c>
      <c r="E168" s="36" t="s">
        <v>492</v>
      </c>
      <c r="F168" s="36" t="s">
        <v>493</v>
      </c>
      <c r="G168" s="36" t="s">
        <v>95</v>
      </c>
      <c r="H168" s="37" t="s">
        <v>494</v>
      </c>
      <c r="I168" s="35" t="s">
        <v>262</v>
      </c>
      <c r="J168" s="35"/>
      <c r="K168" s="35"/>
      <c r="M168" s="40" t="s">
        <v>497</v>
      </c>
      <c r="N168" s="42" t="s">
        <v>98</v>
      </c>
      <c r="O168" s="41">
        <v>465389</v>
      </c>
      <c r="P168" s="40" t="s">
        <v>498</v>
      </c>
      <c r="Q168" s="40" t="s">
        <v>111</v>
      </c>
    </row>
    <row r="169" spans="3:17" s="39" customFormat="1">
      <c r="C169" s="35"/>
      <c r="D169" s="36" t="s">
        <v>499</v>
      </c>
      <c r="E169" s="36" t="s">
        <v>124</v>
      </c>
      <c r="F169" s="36" t="s">
        <v>137</v>
      </c>
      <c r="G169" s="36" t="s">
        <v>95</v>
      </c>
      <c r="H169" s="37" t="s">
        <v>500</v>
      </c>
      <c r="I169" s="35" t="s">
        <v>109</v>
      </c>
      <c r="J169" s="35"/>
      <c r="K169" s="38" t="s">
        <v>86</v>
      </c>
      <c r="L169" s="39" t="s">
        <v>78</v>
      </c>
      <c r="M169" s="40" t="s">
        <v>497</v>
      </c>
      <c r="N169" s="42" t="s">
        <v>98</v>
      </c>
      <c r="O169" s="41">
        <v>464164</v>
      </c>
      <c r="P169" s="40" t="s">
        <v>501</v>
      </c>
      <c r="Q169" s="40" t="s">
        <v>111</v>
      </c>
    </row>
    <row r="170" spans="3:17" s="39" customFormat="1">
      <c r="C170" s="35"/>
      <c r="D170" s="36" t="s">
        <v>499</v>
      </c>
      <c r="E170" s="36" t="s">
        <v>132</v>
      </c>
      <c r="F170" s="36" t="s">
        <v>137</v>
      </c>
      <c r="G170" s="36" t="s">
        <v>95</v>
      </c>
      <c r="H170" s="37" t="s">
        <v>500</v>
      </c>
      <c r="I170" s="35" t="s">
        <v>109</v>
      </c>
      <c r="J170" s="35"/>
      <c r="K170" s="38" t="s">
        <v>86</v>
      </c>
      <c r="L170" s="39" t="s">
        <v>78</v>
      </c>
      <c r="M170" s="40" t="s">
        <v>497</v>
      </c>
      <c r="N170" s="42" t="s">
        <v>98</v>
      </c>
      <c r="O170" s="41">
        <v>465388</v>
      </c>
      <c r="P170" s="40" t="s">
        <v>502</v>
      </c>
      <c r="Q170" s="40" t="s">
        <v>111</v>
      </c>
    </row>
    <row r="171" spans="3:17" s="39" customFormat="1">
      <c r="C171" s="35"/>
      <c r="D171" s="36" t="s">
        <v>503</v>
      </c>
      <c r="E171" s="36" t="s">
        <v>504</v>
      </c>
      <c r="F171" s="36" t="s">
        <v>94</v>
      </c>
      <c r="G171" s="36" t="s">
        <v>95</v>
      </c>
      <c r="H171" s="37" t="s">
        <v>505</v>
      </c>
      <c r="I171" s="35" t="s">
        <v>109</v>
      </c>
      <c r="J171" s="35"/>
      <c r="K171" s="38" t="s">
        <v>86</v>
      </c>
      <c r="L171" s="39" t="s">
        <v>78</v>
      </c>
      <c r="M171" s="40" t="s">
        <v>505</v>
      </c>
      <c r="N171" s="42" t="s">
        <v>98</v>
      </c>
      <c r="O171" s="41">
        <v>400476</v>
      </c>
      <c r="P171" s="40" t="s">
        <v>506</v>
      </c>
      <c r="Q171" s="40" t="s">
        <v>185</v>
      </c>
    </row>
    <row r="172" spans="3:17" s="39" customFormat="1">
      <c r="C172" s="35"/>
      <c r="D172" s="36" t="s">
        <v>503</v>
      </c>
      <c r="E172" s="36" t="s">
        <v>504</v>
      </c>
      <c r="F172" s="36" t="s">
        <v>94</v>
      </c>
      <c r="G172" s="36" t="s">
        <v>95</v>
      </c>
      <c r="H172" s="37" t="s">
        <v>505</v>
      </c>
      <c r="I172" s="35" t="s">
        <v>109</v>
      </c>
      <c r="J172" s="35"/>
      <c r="K172" s="35"/>
      <c r="M172" s="40" t="s">
        <v>505</v>
      </c>
      <c r="N172" s="42" t="s">
        <v>98</v>
      </c>
      <c r="O172" s="41">
        <v>400476</v>
      </c>
      <c r="P172" s="40" t="s">
        <v>506</v>
      </c>
      <c r="Q172" s="40" t="s">
        <v>507</v>
      </c>
    </row>
    <row r="173" spans="3:17" s="39" customFormat="1">
      <c r="C173" s="35"/>
      <c r="D173" s="36" t="s">
        <v>508</v>
      </c>
      <c r="E173" s="36" t="s">
        <v>450</v>
      </c>
      <c r="F173" s="36" t="s">
        <v>149</v>
      </c>
      <c r="G173" s="36" t="s">
        <v>95</v>
      </c>
      <c r="H173" s="37" t="s">
        <v>509</v>
      </c>
      <c r="I173" s="35" t="s">
        <v>97</v>
      </c>
      <c r="J173" s="35"/>
      <c r="K173" s="38" t="s">
        <v>86</v>
      </c>
      <c r="L173" s="39" t="s">
        <v>78</v>
      </c>
      <c r="M173" s="40" t="s">
        <v>167</v>
      </c>
      <c r="N173" s="42" t="s">
        <v>98</v>
      </c>
      <c r="O173" s="41">
        <v>417811</v>
      </c>
      <c r="P173" s="40" t="s">
        <v>510</v>
      </c>
      <c r="Q173" s="40" t="s">
        <v>249</v>
      </c>
    </row>
    <row r="174" spans="3:17" s="39" customFormat="1">
      <c r="C174" s="35"/>
      <c r="D174" s="36" t="s">
        <v>511</v>
      </c>
      <c r="E174" s="36" t="s">
        <v>159</v>
      </c>
      <c r="F174" s="36" t="s">
        <v>107</v>
      </c>
      <c r="G174" s="36" t="s">
        <v>95</v>
      </c>
      <c r="H174" s="37" t="s">
        <v>512</v>
      </c>
      <c r="I174" s="35" t="s">
        <v>254</v>
      </c>
      <c r="J174" s="35"/>
      <c r="K174" s="38" t="s">
        <v>86</v>
      </c>
      <c r="L174" s="39" t="s">
        <v>78</v>
      </c>
      <c r="M174" s="40" t="s">
        <v>512</v>
      </c>
      <c r="N174" s="42" t="s">
        <v>98</v>
      </c>
      <c r="O174" s="41">
        <v>272838</v>
      </c>
      <c r="P174" s="40" t="s">
        <v>513</v>
      </c>
      <c r="Q174" s="40" t="s">
        <v>111</v>
      </c>
    </row>
    <row r="175" spans="3:17" s="39" customFormat="1">
      <c r="C175" s="35"/>
      <c r="D175" s="36" t="s">
        <v>514</v>
      </c>
      <c r="E175" s="36" t="s">
        <v>515</v>
      </c>
      <c r="F175" s="36" t="s">
        <v>94</v>
      </c>
      <c r="G175" s="36" t="s">
        <v>95</v>
      </c>
      <c r="H175" s="37" t="s">
        <v>516</v>
      </c>
      <c r="I175" s="35" t="s">
        <v>97</v>
      </c>
      <c r="J175" s="35"/>
      <c r="K175" s="38" t="s">
        <v>86</v>
      </c>
      <c r="L175" s="39" t="s">
        <v>78</v>
      </c>
      <c r="M175" s="40" t="s">
        <v>516</v>
      </c>
      <c r="N175" s="42" t="s">
        <v>98</v>
      </c>
      <c r="O175" s="41">
        <v>465427</v>
      </c>
      <c r="P175" s="40" t="s">
        <v>517</v>
      </c>
      <c r="Q175" s="40" t="s">
        <v>518</v>
      </c>
    </row>
    <row r="176" spans="3:17" s="39" customFormat="1">
      <c r="C176" s="35"/>
      <c r="D176" s="36" t="s">
        <v>519</v>
      </c>
      <c r="E176" s="36" t="s">
        <v>520</v>
      </c>
      <c r="F176" s="36" t="s">
        <v>521</v>
      </c>
      <c r="G176" s="36" t="s">
        <v>95</v>
      </c>
      <c r="H176" s="37" t="s">
        <v>522</v>
      </c>
      <c r="I176" s="35" t="s">
        <v>262</v>
      </c>
      <c r="J176" s="35"/>
      <c r="K176" s="38" t="s">
        <v>86</v>
      </c>
      <c r="L176" s="39" t="s">
        <v>78</v>
      </c>
      <c r="M176" s="40" t="s">
        <v>358</v>
      </c>
      <c r="N176" s="42" t="s">
        <v>98</v>
      </c>
      <c r="O176" s="41">
        <v>400776</v>
      </c>
      <c r="P176" s="40" t="s">
        <v>523</v>
      </c>
      <c r="Q176" s="40" t="s">
        <v>524</v>
      </c>
    </row>
    <row r="177" spans="3:17" s="39" customFormat="1">
      <c r="C177" s="35"/>
      <c r="D177" s="36" t="s">
        <v>525</v>
      </c>
      <c r="E177" s="36" t="s">
        <v>148</v>
      </c>
      <c r="F177" s="36" t="s">
        <v>149</v>
      </c>
      <c r="G177" s="36" t="s">
        <v>95</v>
      </c>
      <c r="H177" s="37" t="s">
        <v>526</v>
      </c>
      <c r="I177" s="35" t="s">
        <v>97</v>
      </c>
      <c r="J177" s="35"/>
      <c r="K177" s="38" t="s">
        <v>86</v>
      </c>
      <c r="L177" s="39" t="s">
        <v>78</v>
      </c>
      <c r="M177" s="40" t="s">
        <v>526</v>
      </c>
      <c r="N177" s="42" t="s">
        <v>98</v>
      </c>
      <c r="O177" s="41">
        <v>268520</v>
      </c>
      <c r="P177" s="40" t="s">
        <v>527</v>
      </c>
      <c r="Q177" s="40" t="s">
        <v>169</v>
      </c>
    </row>
    <row r="178" spans="3:17" s="39" customFormat="1">
      <c r="C178" s="35"/>
      <c r="D178" s="36" t="s">
        <v>525</v>
      </c>
      <c r="E178" s="36" t="s">
        <v>148</v>
      </c>
      <c r="F178" s="36" t="s">
        <v>149</v>
      </c>
      <c r="G178" s="36" t="s">
        <v>95</v>
      </c>
      <c r="H178" s="37" t="s">
        <v>526</v>
      </c>
      <c r="I178" s="35" t="s">
        <v>97</v>
      </c>
      <c r="J178" s="35"/>
      <c r="K178" s="35"/>
      <c r="M178" s="40" t="s">
        <v>526</v>
      </c>
      <c r="N178" s="42" t="s">
        <v>98</v>
      </c>
      <c r="O178" s="41">
        <v>268520</v>
      </c>
      <c r="P178" s="40" t="s">
        <v>527</v>
      </c>
      <c r="Q178" s="40" t="s">
        <v>528</v>
      </c>
    </row>
    <row r="179" spans="3:17" s="39" customFormat="1">
      <c r="C179" s="35"/>
      <c r="D179" s="36" t="s">
        <v>529</v>
      </c>
      <c r="E179" s="36" t="s">
        <v>530</v>
      </c>
      <c r="F179" s="36" t="s">
        <v>246</v>
      </c>
      <c r="G179" s="36" t="s">
        <v>95</v>
      </c>
      <c r="H179" s="37" t="s">
        <v>531</v>
      </c>
      <c r="I179" s="35" t="s">
        <v>254</v>
      </c>
      <c r="J179" s="35"/>
      <c r="K179" s="38" t="s">
        <v>86</v>
      </c>
      <c r="L179" s="39" t="s">
        <v>78</v>
      </c>
      <c r="M179" s="40" t="s">
        <v>531</v>
      </c>
      <c r="N179" s="42" t="s">
        <v>98</v>
      </c>
      <c r="O179" s="41">
        <v>267896</v>
      </c>
      <c r="P179" s="40" t="s">
        <v>532</v>
      </c>
      <c r="Q179" s="40" t="s">
        <v>249</v>
      </c>
    </row>
    <row r="180" spans="3:17" s="39" customFormat="1">
      <c r="C180" s="35"/>
      <c r="D180" s="36" t="s">
        <v>529</v>
      </c>
      <c r="E180" s="36" t="s">
        <v>533</v>
      </c>
      <c r="F180" s="36" t="s">
        <v>534</v>
      </c>
      <c r="G180" s="36" t="s">
        <v>95</v>
      </c>
      <c r="H180" s="37" t="s">
        <v>531</v>
      </c>
      <c r="I180" s="35" t="s">
        <v>254</v>
      </c>
      <c r="J180" s="35"/>
      <c r="K180" s="38" t="s">
        <v>86</v>
      </c>
      <c r="L180" s="39" t="s">
        <v>78</v>
      </c>
      <c r="M180" s="40" t="s">
        <v>531</v>
      </c>
      <c r="N180" s="42" t="s">
        <v>98</v>
      </c>
      <c r="O180" s="41">
        <v>362058</v>
      </c>
      <c r="P180" s="40" t="s">
        <v>535</v>
      </c>
      <c r="Q180" s="40" t="s">
        <v>536</v>
      </c>
    </row>
    <row r="181" spans="3:17" s="39" customFormat="1">
      <c r="C181" s="35"/>
      <c r="D181" s="36" t="s">
        <v>529</v>
      </c>
      <c r="E181" s="36" t="s">
        <v>537</v>
      </c>
      <c r="F181" s="36" t="s">
        <v>246</v>
      </c>
      <c r="G181" s="36" t="s">
        <v>95</v>
      </c>
      <c r="H181" s="37" t="s">
        <v>531</v>
      </c>
      <c r="I181" s="35" t="s">
        <v>254</v>
      </c>
      <c r="J181" s="35"/>
      <c r="K181" s="38" t="s">
        <v>86</v>
      </c>
      <c r="L181" s="39" t="s">
        <v>78</v>
      </c>
      <c r="M181" s="40" t="s">
        <v>531</v>
      </c>
      <c r="N181" s="42" t="s">
        <v>98</v>
      </c>
      <c r="O181" s="41">
        <v>267894</v>
      </c>
      <c r="P181" s="40" t="s">
        <v>538</v>
      </c>
      <c r="Q181" s="40" t="s">
        <v>249</v>
      </c>
    </row>
    <row r="182" spans="3:17" s="39" customFormat="1">
      <c r="C182" s="35"/>
      <c r="D182" s="36" t="s">
        <v>529</v>
      </c>
      <c r="E182" s="36" t="s">
        <v>539</v>
      </c>
      <c r="F182" s="36" t="s">
        <v>246</v>
      </c>
      <c r="G182" s="36" t="s">
        <v>95</v>
      </c>
      <c r="H182" s="37" t="s">
        <v>531</v>
      </c>
      <c r="I182" s="35" t="s">
        <v>254</v>
      </c>
      <c r="J182" s="35"/>
      <c r="K182" s="38" t="s">
        <v>86</v>
      </c>
      <c r="L182" s="39" t="s">
        <v>78</v>
      </c>
      <c r="M182" s="40" t="s">
        <v>531</v>
      </c>
      <c r="N182" s="42" t="s">
        <v>98</v>
      </c>
      <c r="O182" s="41">
        <v>267897</v>
      </c>
      <c r="P182" s="40" t="s">
        <v>540</v>
      </c>
      <c r="Q182" s="40" t="s">
        <v>249</v>
      </c>
    </row>
    <row r="183" spans="3:17" s="39" customFormat="1">
      <c r="C183" s="35"/>
      <c r="D183" s="36" t="s">
        <v>529</v>
      </c>
      <c r="E183" s="36" t="s">
        <v>541</v>
      </c>
      <c r="F183" s="36" t="s">
        <v>246</v>
      </c>
      <c r="G183" s="36" t="s">
        <v>95</v>
      </c>
      <c r="H183" s="37" t="s">
        <v>531</v>
      </c>
      <c r="I183" s="35" t="s">
        <v>254</v>
      </c>
      <c r="J183" s="35"/>
      <c r="K183" s="38" t="s">
        <v>86</v>
      </c>
      <c r="L183" s="39" t="s">
        <v>78</v>
      </c>
      <c r="M183" s="40" t="s">
        <v>531</v>
      </c>
      <c r="N183" s="42" t="s">
        <v>98</v>
      </c>
      <c r="O183" s="41">
        <v>267895</v>
      </c>
      <c r="P183" s="40" t="s">
        <v>542</v>
      </c>
      <c r="Q183" s="40" t="s">
        <v>249</v>
      </c>
    </row>
    <row r="184" spans="3:17" s="39" customFormat="1">
      <c r="C184" s="35"/>
      <c r="D184" s="36" t="s">
        <v>529</v>
      </c>
      <c r="E184" s="36" t="s">
        <v>543</v>
      </c>
      <c r="F184" s="36" t="s">
        <v>534</v>
      </c>
      <c r="G184" s="36" t="s">
        <v>95</v>
      </c>
      <c r="H184" s="37" t="s">
        <v>531</v>
      </c>
      <c r="I184" s="35" t="s">
        <v>254</v>
      </c>
      <c r="J184" s="35"/>
      <c r="K184" s="38" t="s">
        <v>86</v>
      </c>
      <c r="L184" s="39" t="s">
        <v>78</v>
      </c>
      <c r="M184" s="40" t="s">
        <v>531</v>
      </c>
      <c r="N184" s="42" t="s">
        <v>98</v>
      </c>
      <c r="O184" s="41">
        <v>362057</v>
      </c>
      <c r="P184" s="40" t="s">
        <v>544</v>
      </c>
      <c r="Q184" s="40" t="s">
        <v>545</v>
      </c>
    </row>
    <row r="185" spans="3:17" s="39" customFormat="1">
      <c r="C185" s="35"/>
      <c r="D185" s="36" t="s">
        <v>546</v>
      </c>
      <c r="E185" s="36" t="s">
        <v>547</v>
      </c>
      <c r="F185" s="36" t="s">
        <v>94</v>
      </c>
      <c r="G185" s="36" t="s">
        <v>95</v>
      </c>
      <c r="H185" s="37" t="s">
        <v>548</v>
      </c>
      <c r="I185" s="35" t="s">
        <v>262</v>
      </c>
      <c r="J185" s="35"/>
      <c r="K185" s="38" t="s">
        <v>86</v>
      </c>
      <c r="L185" s="39" t="s">
        <v>78</v>
      </c>
      <c r="M185" s="40" t="s">
        <v>549</v>
      </c>
      <c r="N185" s="42" t="s">
        <v>98</v>
      </c>
      <c r="O185" s="41">
        <v>475000</v>
      </c>
      <c r="P185" s="40" t="s">
        <v>550</v>
      </c>
      <c r="Q185" s="40" t="s">
        <v>524</v>
      </c>
    </row>
    <row r="186" spans="3:17" s="39" customFormat="1">
      <c r="C186" s="35"/>
      <c r="D186" s="36" t="s">
        <v>551</v>
      </c>
      <c r="E186" s="36" t="s">
        <v>552</v>
      </c>
      <c r="F186" s="36" t="s">
        <v>94</v>
      </c>
      <c r="G186" s="36" t="s">
        <v>95</v>
      </c>
      <c r="H186" s="37" t="s">
        <v>553</v>
      </c>
      <c r="I186" s="35" t="s">
        <v>97</v>
      </c>
      <c r="J186" s="35"/>
      <c r="K186" s="38" t="s">
        <v>86</v>
      </c>
      <c r="L186" s="39" t="s">
        <v>78</v>
      </c>
      <c r="M186" s="40" t="s">
        <v>553</v>
      </c>
      <c r="N186" s="41" t="s">
        <v>98</v>
      </c>
      <c r="O186" s="41">
        <v>465482</v>
      </c>
      <c r="P186" s="40" t="s">
        <v>554</v>
      </c>
      <c r="Q186" s="40" t="s">
        <v>104</v>
      </c>
    </row>
    <row r="187" spans="3:17" s="39" customFormat="1">
      <c r="C187" s="35"/>
      <c r="D187" s="36" t="s">
        <v>555</v>
      </c>
      <c r="E187" s="36" t="s">
        <v>347</v>
      </c>
      <c r="F187" s="36" t="s">
        <v>107</v>
      </c>
      <c r="G187" s="36" t="s">
        <v>95</v>
      </c>
      <c r="H187" s="37" t="s">
        <v>556</v>
      </c>
      <c r="I187" s="35" t="s">
        <v>97</v>
      </c>
      <c r="J187" s="35"/>
      <c r="K187" s="38" t="s">
        <v>86</v>
      </c>
      <c r="L187" s="39" t="s">
        <v>78</v>
      </c>
      <c r="M187" s="40" t="s">
        <v>556</v>
      </c>
      <c r="N187" s="41" t="s">
        <v>98</v>
      </c>
      <c r="O187" s="41">
        <v>285817</v>
      </c>
      <c r="P187" s="40" t="s">
        <v>557</v>
      </c>
      <c r="Q187" s="40" t="s">
        <v>111</v>
      </c>
    </row>
    <row r="188" spans="3:17" s="39" customFormat="1">
      <c r="C188" s="35"/>
      <c r="D188" s="36" t="s">
        <v>555</v>
      </c>
      <c r="E188" s="36" t="s">
        <v>214</v>
      </c>
      <c r="F188" s="36" t="s">
        <v>107</v>
      </c>
      <c r="G188" s="36" t="s">
        <v>95</v>
      </c>
      <c r="H188" s="37" t="s">
        <v>556</v>
      </c>
      <c r="I188" s="35" t="s">
        <v>97</v>
      </c>
      <c r="J188" s="35"/>
      <c r="K188" s="38" t="s">
        <v>86</v>
      </c>
      <c r="L188" s="39" t="s">
        <v>78</v>
      </c>
      <c r="M188" s="40" t="s">
        <v>556</v>
      </c>
      <c r="N188" s="41" t="s">
        <v>98</v>
      </c>
      <c r="O188" s="41">
        <v>285818</v>
      </c>
      <c r="P188" s="40" t="s">
        <v>558</v>
      </c>
      <c r="Q188" s="40" t="s">
        <v>111</v>
      </c>
    </row>
    <row r="189" spans="3:17" s="39" customFormat="1">
      <c r="C189" s="35"/>
      <c r="D189" s="36" t="s">
        <v>559</v>
      </c>
      <c r="E189" s="36" t="s">
        <v>560</v>
      </c>
      <c r="F189" s="36" t="s">
        <v>160</v>
      </c>
      <c r="G189" s="36" t="s">
        <v>95</v>
      </c>
      <c r="H189" s="37" t="s">
        <v>561</v>
      </c>
      <c r="I189" s="35" t="s">
        <v>109</v>
      </c>
      <c r="J189" s="35"/>
      <c r="K189" s="38" t="s">
        <v>86</v>
      </c>
      <c r="L189" s="39" t="s">
        <v>78</v>
      </c>
      <c r="M189" s="40" t="s">
        <v>561</v>
      </c>
      <c r="N189" s="41" t="s">
        <v>98</v>
      </c>
      <c r="O189" s="41">
        <v>404846</v>
      </c>
      <c r="P189" s="40" t="s">
        <v>562</v>
      </c>
      <c r="Q189" s="40" t="s">
        <v>104</v>
      </c>
    </row>
    <row r="190" spans="3:17" s="39" customFormat="1">
      <c r="C190" s="35"/>
      <c r="D190" s="36" t="s">
        <v>559</v>
      </c>
      <c r="E190" s="36" t="s">
        <v>560</v>
      </c>
      <c r="F190" s="36" t="s">
        <v>94</v>
      </c>
      <c r="G190" s="36" t="s">
        <v>95</v>
      </c>
      <c r="H190" s="37" t="s">
        <v>561</v>
      </c>
      <c r="I190" s="35" t="s">
        <v>109</v>
      </c>
      <c r="J190" s="35"/>
      <c r="K190" s="38" t="s">
        <v>86</v>
      </c>
      <c r="L190" s="39" t="s">
        <v>78</v>
      </c>
      <c r="M190" s="40" t="s">
        <v>561</v>
      </c>
      <c r="N190" s="41" t="s">
        <v>98</v>
      </c>
      <c r="O190" s="41">
        <v>446831</v>
      </c>
      <c r="P190" s="40" t="s">
        <v>563</v>
      </c>
      <c r="Q190" s="40" t="s">
        <v>104</v>
      </c>
    </row>
    <row r="191" spans="3:17" s="39" customFormat="1">
      <c r="C191" s="35"/>
      <c r="D191" s="36" t="s">
        <v>559</v>
      </c>
      <c r="E191" s="36" t="s">
        <v>564</v>
      </c>
      <c r="F191" s="36" t="s">
        <v>160</v>
      </c>
      <c r="G191" s="36" t="s">
        <v>95</v>
      </c>
      <c r="H191" s="37" t="s">
        <v>561</v>
      </c>
      <c r="I191" s="35" t="s">
        <v>109</v>
      </c>
      <c r="J191" s="35"/>
      <c r="K191" s="38" t="s">
        <v>86</v>
      </c>
      <c r="L191" s="39" t="s">
        <v>78</v>
      </c>
      <c r="M191" s="40" t="s">
        <v>561</v>
      </c>
      <c r="N191" s="41" t="s">
        <v>98</v>
      </c>
      <c r="O191" s="41">
        <v>443191</v>
      </c>
      <c r="P191" s="40" t="s">
        <v>565</v>
      </c>
      <c r="Q191" s="40" t="s">
        <v>104</v>
      </c>
    </row>
    <row r="192" spans="3:17" s="39" customFormat="1">
      <c r="C192" s="35"/>
      <c r="D192" s="36" t="s">
        <v>559</v>
      </c>
      <c r="E192" s="36" t="s">
        <v>564</v>
      </c>
      <c r="F192" s="36" t="s">
        <v>94</v>
      </c>
      <c r="G192" s="36" t="s">
        <v>95</v>
      </c>
      <c r="H192" s="37" t="s">
        <v>561</v>
      </c>
      <c r="I192" s="35" t="s">
        <v>109</v>
      </c>
      <c r="J192" s="35"/>
      <c r="K192" s="38" t="s">
        <v>86</v>
      </c>
      <c r="L192" s="39" t="s">
        <v>78</v>
      </c>
      <c r="M192" s="40" t="s">
        <v>561</v>
      </c>
      <c r="N192" s="41" t="s">
        <v>98</v>
      </c>
      <c r="O192" s="41">
        <v>446831</v>
      </c>
      <c r="P192" s="40" t="s">
        <v>563</v>
      </c>
      <c r="Q192" s="40" t="s">
        <v>104</v>
      </c>
    </row>
    <row r="193" spans="3:17" s="39" customFormat="1">
      <c r="C193" s="35"/>
      <c r="D193" s="36" t="s">
        <v>559</v>
      </c>
      <c r="E193" s="36" t="s">
        <v>566</v>
      </c>
      <c r="F193" s="36" t="s">
        <v>160</v>
      </c>
      <c r="G193" s="36" t="s">
        <v>95</v>
      </c>
      <c r="H193" s="37" t="s">
        <v>561</v>
      </c>
      <c r="I193" s="35" t="s">
        <v>109</v>
      </c>
      <c r="J193" s="35"/>
      <c r="K193" s="38" t="s">
        <v>86</v>
      </c>
      <c r="L193" s="39" t="s">
        <v>78</v>
      </c>
      <c r="M193" s="40" t="s">
        <v>561</v>
      </c>
      <c r="N193" s="42" t="s">
        <v>98</v>
      </c>
      <c r="O193" s="42">
        <v>408047</v>
      </c>
      <c r="P193" s="40" t="s">
        <v>567</v>
      </c>
      <c r="Q193" s="40" t="s">
        <v>104</v>
      </c>
    </row>
    <row r="194" spans="3:17" s="39" customFormat="1">
      <c r="C194" s="35"/>
      <c r="D194" s="36" t="s">
        <v>559</v>
      </c>
      <c r="E194" s="36" t="s">
        <v>566</v>
      </c>
      <c r="F194" s="36" t="s">
        <v>160</v>
      </c>
      <c r="G194" s="36" t="s">
        <v>95</v>
      </c>
      <c r="H194" s="37" t="s">
        <v>561</v>
      </c>
      <c r="I194" s="35" t="s">
        <v>109</v>
      </c>
      <c r="J194" s="35"/>
      <c r="K194" s="35"/>
      <c r="M194" s="40" t="s">
        <v>561</v>
      </c>
      <c r="N194" s="42" t="s">
        <v>98</v>
      </c>
      <c r="O194" s="42">
        <v>318989</v>
      </c>
      <c r="P194" s="40" t="s">
        <v>568</v>
      </c>
      <c r="Q194" s="40" t="s">
        <v>104</v>
      </c>
    </row>
    <row r="195" spans="3:17" s="39" customFormat="1">
      <c r="C195" s="35"/>
      <c r="D195" s="36" t="s">
        <v>559</v>
      </c>
      <c r="E195" s="36" t="s">
        <v>566</v>
      </c>
      <c r="F195" s="36" t="s">
        <v>94</v>
      </c>
      <c r="G195" s="36" t="s">
        <v>95</v>
      </c>
      <c r="H195" s="37" t="s">
        <v>561</v>
      </c>
      <c r="I195" s="35" t="s">
        <v>109</v>
      </c>
      <c r="J195" s="35"/>
      <c r="K195" s="38" t="s">
        <v>86</v>
      </c>
      <c r="L195" s="39" t="s">
        <v>78</v>
      </c>
      <c r="M195" s="40" t="s">
        <v>561</v>
      </c>
      <c r="N195" s="42" t="s">
        <v>98</v>
      </c>
      <c r="O195" s="42">
        <v>318989</v>
      </c>
      <c r="P195" s="40" t="s">
        <v>568</v>
      </c>
      <c r="Q195" s="40" t="s">
        <v>104</v>
      </c>
    </row>
    <row r="196" spans="3:17" s="39" customFormat="1">
      <c r="C196" s="35"/>
      <c r="D196" s="36" t="s">
        <v>559</v>
      </c>
      <c r="E196" s="36" t="s">
        <v>566</v>
      </c>
      <c r="F196" s="36" t="s">
        <v>94</v>
      </c>
      <c r="G196" s="36" t="s">
        <v>95</v>
      </c>
      <c r="H196" s="37" t="s">
        <v>561</v>
      </c>
      <c r="I196" s="35" t="s">
        <v>109</v>
      </c>
      <c r="J196" s="35"/>
      <c r="K196" s="35"/>
      <c r="M196" s="40" t="s">
        <v>561</v>
      </c>
      <c r="N196" s="42" t="s">
        <v>98</v>
      </c>
      <c r="O196" s="42">
        <v>446831</v>
      </c>
      <c r="P196" s="40" t="s">
        <v>563</v>
      </c>
      <c r="Q196" s="40" t="s">
        <v>104</v>
      </c>
    </row>
    <row r="197" spans="3:17" s="39" customFormat="1">
      <c r="C197" s="35"/>
      <c r="D197" s="36" t="s">
        <v>559</v>
      </c>
      <c r="E197" s="36" t="s">
        <v>569</v>
      </c>
      <c r="F197" s="36" t="s">
        <v>160</v>
      </c>
      <c r="G197" s="36" t="s">
        <v>95</v>
      </c>
      <c r="H197" s="37" t="s">
        <v>561</v>
      </c>
      <c r="I197" s="35" t="s">
        <v>109</v>
      </c>
      <c r="J197" s="35"/>
      <c r="K197" s="38" t="s">
        <v>86</v>
      </c>
      <c r="L197" s="39" t="s">
        <v>78</v>
      </c>
      <c r="M197" s="40" t="s">
        <v>570</v>
      </c>
      <c r="N197" s="42" t="s">
        <v>98</v>
      </c>
      <c r="O197" s="42"/>
      <c r="P197" s="40"/>
      <c r="Q197" s="40"/>
    </row>
    <row r="198" spans="3:17" s="39" customFormat="1">
      <c r="C198" s="35"/>
      <c r="D198" s="36" t="s">
        <v>559</v>
      </c>
      <c r="E198" s="36" t="s">
        <v>569</v>
      </c>
      <c r="F198" s="36" t="s">
        <v>94</v>
      </c>
      <c r="G198" s="36" t="s">
        <v>95</v>
      </c>
      <c r="H198" s="37" t="s">
        <v>561</v>
      </c>
      <c r="I198" s="35" t="s">
        <v>109</v>
      </c>
      <c r="J198" s="35"/>
      <c r="K198" s="38" t="s">
        <v>86</v>
      </c>
      <c r="L198" s="39" t="s">
        <v>78</v>
      </c>
      <c r="M198" s="40" t="s">
        <v>350</v>
      </c>
      <c r="N198" s="42" t="s">
        <v>98</v>
      </c>
      <c r="O198" s="42" t="s">
        <v>427</v>
      </c>
      <c r="P198" s="40"/>
      <c r="Q198" s="40"/>
    </row>
    <row r="199" spans="3:17" s="39" customFormat="1">
      <c r="C199" s="35"/>
      <c r="D199" s="36" t="s">
        <v>559</v>
      </c>
      <c r="E199" s="36" t="s">
        <v>571</v>
      </c>
      <c r="F199" s="36" t="s">
        <v>160</v>
      </c>
      <c r="G199" s="36" t="s">
        <v>95</v>
      </c>
      <c r="H199" s="37" t="s">
        <v>561</v>
      </c>
      <c r="I199" s="35" t="s">
        <v>109</v>
      </c>
      <c r="J199" s="35"/>
      <c r="K199" s="38" t="s">
        <v>86</v>
      </c>
      <c r="L199" s="39" t="s">
        <v>78</v>
      </c>
      <c r="M199" s="40" t="s">
        <v>561</v>
      </c>
      <c r="N199" s="42" t="s">
        <v>98</v>
      </c>
      <c r="O199" s="42">
        <v>406930</v>
      </c>
      <c r="P199" s="40" t="s">
        <v>572</v>
      </c>
      <c r="Q199" s="40" t="s">
        <v>287</v>
      </c>
    </row>
    <row r="200" spans="3:17" s="39" customFormat="1">
      <c r="C200" s="35"/>
      <c r="D200" s="36" t="s">
        <v>559</v>
      </c>
      <c r="E200" s="36" t="s">
        <v>571</v>
      </c>
      <c r="F200" s="36" t="s">
        <v>94</v>
      </c>
      <c r="G200" s="36" t="s">
        <v>95</v>
      </c>
      <c r="H200" s="37" t="s">
        <v>561</v>
      </c>
      <c r="I200" s="35" t="s">
        <v>109</v>
      </c>
      <c r="J200" s="35"/>
      <c r="K200" s="38" t="s">
        <v>86</v>
      </c>
      <c r="L200" s="39" t="s">
        <v>78</v>
      </c>
      <c r="M200" s="40" t="s">
        <v>561</v>
      </c>
      <c r="N200" s="42" t="s">
        <v>98</v>
      </c>
      <c r="O200" s="42">
        <v>446831</v>
      </c>
      <c r="P200" s="40" t="s">
        <v>563</v>
      </c>
      <c r="Q200" s="40" t="s">
        <v>104</v>
      </c>
    </row>
    <row r="201" spans="3:17" s="39" customFormat="1">
      <c r="C201" s="35"/>
      <c r="D201" s="36" t="s">
        <v>559</v>
      </c>
      <c r="E201" s="36" t="s">
        <v>573</v>
      </c>
      <c r="F201" s="36" t="s">
        <v>160</v>
      </c>
      <c r="G201" s="36" t="s">
        <v>95</v>
      </c>
      <c r="H201" s="37" t="s">
        <v>561</v>
      </c>
      <c r="I201" s="35" t="s">
        <v>109</v>
      </c>
      <c r="J201" s="35"/>
      <c r="K201" s="38" t="s">
        <v>86</v>
      </c>
      <c r="L201" s="39" t="s">
        <v>78</v>
      </c>
      <c r="M201" s="40" t="s">
        <v>561</v>
      </c>
      <c r="N201" s="41" t="s">
        <v>98</v>
      </c>
      <c r="O201" s="41">
        <v>475031</v>
      </c>
      <c r="P201" s="40" t="s">
        <v>574</v>
      </c>
      <c r="Q201" s="40" t="s">
        <v>104</v>
      </c>
    </row>
    <row r="202" spans="3:17" s="39" customFormat="1">
      <c r="C202" s="35"/>
      <c r="D202" s="36" t="s">
        <v>559</v>
      </c>
      <c r="E202" s="36" t="s">
        <v>573</v>
      </c>
      <c r="F202" s="36" t="s">
        <v>94</v>
      </c>
      <c r="G202" s="36" t="s">
        <v>95</v>
      </c>
      <c r="H202" s="37" t="s">
        <v>561</v>
      </c>
      <c r="I202" s="35" t="s">
        <v>109</v>
      </c>
      <c r="J202" s="35"/>
      <c r="K202" s="38" t="s">
        <v>86</v>
      </c>
      <c r="L202" s="39" t="s">
        <v>78</v>
      </c>
      <c r="M202" s="40" t="s">
        <v>561</v>
      </c>
      <c r="N202" s="41" t="s">
        <v>98</v>
      </c>
      <c r="O202" s="41">
        <v>446831</v>
      </c>
      <c r="P202" s="40" t="s">
        <v>563</v>
      </c>
      <c r="Q202" s="40" t="s">
        <v>104</v>
      </c>
    </row>
    <row r="203" spans="3:17" s="39" customFormat="1">
      <c r="C203" s="35"/>
      <c r="D203" s="36" t="s">
        <v>559</v>
      </c>
      <c r="E203" s="36" t="s">
        <v>575</v>
      </c>
      <c r="F203" s="36" t="s">
        <v>160</v>
      </c>
      <c r="G203" s="36" t="s">
        <v>95</v>
      </c>
      <c r="H203" s="37" t="s">
        <v>561</v>
      </c>
      <c r="I203" s="35" t="s">
        <v>109</v>
      </c>
      <c r="J203" s="35"/>
      <c r="K203" s="38" t="s">
        <v>86</v>
      </c>
      <c r="L203" s="39" t="s">
        <v>78</v>
      </c>
      <c r="M203" s="40" t="s">
        <v>561</v>
      </c>
      <c r="N203" s="41" t="s">
        <v>98</v>
      </c>
      <c r="O203" s="41">
        <v>446832</v>
      </c>
      <c r="P203" s="40" t="s">
        <v>576</v>
      </c>
      <c r="Q203" s="40" t="s">
        <v>287</v>
      </c>
    </row>
    <row r="204" spans="3:17" s="39" customFormat="1">
      <c r="C204" s="35"/>
      <c r="D204" s="36" t="s">
        <v>559</v>
      </c>
      <c r="E204" s="36" t="s">
        <v>575</v>
      </c>
      <c r="F204" s="36" t="s">
        <v>160</v>
      </c>
      <c r="G204" s="36" t="s">
        <v>95</v>
      </c>
      <c r="H204" s="37" t="s">
        <v>561</v>
      </c>
      <c r="I204" s="35" t="s">
        <v>109</v>
      </c>
      <c r="J204" s="35"/>
      <c r="K204" s="35"/>
      <c r="M204" s="40" t="s">
        <v>561</v>
      </c>
      <c r="N204" s="41" t="s">
        <v>98</v>
      </c>
      <c r="O204" s="41">
        <v>446832</v>
      </c>
      <c r="P204" s="40" t="s">
        <v>576</v>
      </c>
      <c r="Q204" s="40" t="s">
        <v>104</v>
      </c>
    </row>
    <row r="205" spans="3:17" s="39" customFormat="1">
      <c r="C205" s="35"/>
      <c r="D205" s="36" t="s">
        <v>559</v>
      </c>
      <c r="E205" s="36" t="s">
        <v>575</v>
      </c>
      <c r="F205" s="36" t="s">
        <v>160</v>
      </c>
      <c r="G205" s="36" t="s">
        <v>95</v>
      </c>
      <c r="H205" s="37" t="s">
        <v>561</v>
      </c>
      <c r="I205" s="35" t="s">
        <v>109</v>
      </c>
      <c r="J205" s="35"/>
      <c r="K205" s="35"/>
      <c r="M205" s="40" t="s">
        <v>561</v>
      </c>
      <c r="N205" s="41" t="s">
        <v>98</v>
      </c>
      <c r="O205" s="41">
        <v>437646</v>
      </c>
      <c r="P205" s="40" t="s">
        <v>577</v>
      </c>
      <c r="Q205" s="40" t="s">
        <v>104</v>
      </c>
    </row>
    <row r="206" spans="3:17" s="39" customFormat="1">
      <c r="C206" s="35"/>
      <c r="D206" s="36" t="s">
        <v>559</v>
      </c>
      <c r="E206" s="36" t="s">
        <v>575</v>
      </c>
      <c r="F206" s="36" t="s">
        <v>160</v>
      </c>
      <c r="G206" s="36" t="s">
        <v>95</v>
      </c>
      <c r="H206" s="37" t="s">
        <v>561</v>
      </c>
      <c r="I206" s="35" t="s">
        <v>109</v>
      </c>
      <c r="J206" s="35"/>
      <c r="K206" s="35"/>
      <c r="M206" s="40" t="s">
        <v>561</v>
      </c>
      <c r="N206" s="41" t="s">
        <v>98</v>
      </c>
      <c r="O206" s="41">
        <v>446832</v>
      </c>
      <c r="P206" s="40" t="s">
        <v>576</v>
      </c>
      <c r="Q206" s="40" t="s">
        <v>287</v>
      </c>
    </row>
    <row r="207" spans="3:17" s="39" customFormat="1">
      <c r="C207" s="35"/>
      <c r="D207" s="36" t="s">
        <v>559</v>
      </c>
      <c r="E207" s="36" t="s">
        <v>575</v>
      </c>
      <c r="F207" s="36" t="s">
        <v>94</v>
      </c>
      <c r="G207" s="36" t="s">
        <v>95</v>
      </c>
      <c r="H207" s="37" t="s">
        <v>561</v>
      </c>
      <c r="I207" s="35" t="s">
        <v>109</v>
      </c>
      <c r="J207" s="35"/>
      <c r="K207" s="38" t="s">
        <v>86</v>
      </c>
      <c r="L207" s="39" t="s">
        <v>78</v>
      </c>
      <c r="M207" s="40" t="s">
        <v>561</v>
      </c>
      <c r="N207" s="41" t="s">
        <v>98</v>
      </c>
      <c r="O207" s="41">
        <v>446832</v>
      </c>
      <c r="P207" s="40" t="s">
        <v>576</v>
      </c>
      <c r="Q207" s="40" t="s">
        <v>104</v>
      </c>
    </row>
    <row r="208" spans="3:17" s="39" customFormat="1">
      <c r="C208" s="35"/>
      <c r="D208" s="36" t="s">
        <v>559</v>
      </c>
      <c r="E208" s="36" t="s">
        <v>575</v>
      </c>
      <c r="F208" s="36" t="s">
        <v>94</v>
      </c>
      <c r="G208" s="36" t="s">
        <v>95</v>
      </c>
      <c r="H208" s="37" t="s">
        <v>561</v>
      </c>
      <c r="I208" s="35" t="s">
        <v>109</v>
      </c>
      <c r="J208" s="35"/>
      <c r="K208" s="35"/>
      <c r="M208" s="40" t="s">
        <v>561</v>
      </c>
      <c r="N208" s="42" t="s">
        <v>98</v>
      </c>
      <c r="O208" s="41">
        <v>437646</v>
      </c>
      <c r="P208" s="40" t="s">
        <v>577</v>
      </c>
      <c r="Q208" s="40" t="s">
        <v>104</v>
      </c>
    </row>
    <row r="209" spans="3:17" s="39" customFormat="1">
      <c r="C209" s="35"/>
      <c r="D209" s="36" t="s">
        <v>578</v>
      </c>
      <c r="E209" s="36" t="s">
        <v>347</v>
      </c>
      <c r="F209" s="36" t="s">
        <v>246</v>
      </c>
      <c r="G209" s="36" t="s">
        <v>95</v>
      </c>
      <c r="H209" s="37" t="s">
        <v>579</v>
      </c>
      <c r="I209" s="35" t="s">
        <v>97</v>
      </c>
      <c r="J209" s="35"/>
      <c r="K209" s="38" t="s">
        <v>86</v>
      </c>
      <c r="L209" s="39" t="s">
        <v>78</v>
      </c>
      <c r="M209" s="40" t="s">
        <v>579</v>
      </c>
      <c r="N209" s="42" t="s">
        <v>98</v>
      </c>
      <c r="O209" s="41">
        <v>268098</v>
      </c>
      <c r="P209" s="40" t="s">
        <v>580</v>
      </c>
      <c r="Q209" s="40" t="s">
        <v>249</v>
      </c>
    </row>
    <row r="210" spans="3:17" s="39" customFormat="1">
      <c r="C210" s="35"/>
      <c r="D210" s="36" t="s">
        <v>578</v>
      </c>
      <c r="E210" s="36" t="s">
        <v>177</v>
      </c>
      <c r="F210" s="36" t="s">
        <v>246</v>
      </c>
      <c r="G210" s="36" t="s">
        <v>95</v>
      </c>
      <c r="H210" s="37" t="s">
        <v>579</v>
      </c>
      <c r="I210" s="35" t="s">
        <v>97</v>
      </c>
      <c r="J210" s="35"/>
      <c r="K210" s="38" t="s">
        <v>86</v>
      </c>
      <c r="L210" s="39" t="s">
        <v>78</v>
      </c>
      <c r="M210" s="40" t="s">
        <v>579</v>
      </c>
      <c r="N210" s="42" t="s">
        <v>98</v>
      </c>
      <c r="O210" s="41">
        <v>268097</v>
      </c>
      <c r="P210" s="40" t="s">
        <v>581</v>
      </c>
      <c r="Q210" s="40" t="s">
        <v>249</v>
      </c>
    </row>
    <row r="211" spans="3:17" s="39" customFormat="1">
      <c r="C211" s="35"/>
      <c r="D211" s="36" t="s">
        <v>582</v>
      </c>
      <c r="E211" s="36" t="s">
        <v>583</v>
      </c>
      <c r="F211" s="36" t="s">
        <v>246</v>
      </c>
      <c r="G211" s="36" t="s">
        <v>95</v>
      </c>
      <c r="H211" s="37" t="s">
        <v>167</v>
      </c>
      <c r="I211" s="35" t="s">
        <v>254</v>
      </c>
      <c r="J211" s="35"/>
      <c r="K211" s="38" t="s">
        <v>86</v>
      </c>
      <c r="L211" s="39" t="s">
        <v>78</v>
      </c>
      <c r="M211" s="40" t="s">
        <v>584</v>
      </c>
      <c r="N211" s="42" t="s">
        <v>98</v>
      </c>
      <c r="O211" s="41" t="s">
        <v>427</v>
      </c>
      <c r="P211" s="40"/>
      <c r="Q211" s="40"/>
    </row>
    <row r="212" spans="3:17" s="39" customFormat="1">
      <c r="C212" s="35"/>
      <c r="D212" s="36" t="s">
        <v>585</v>
      </c>
      <c r="E212" s="36" t="s">
        <v>120</v>
      </c>
      <c r="F212" s="36" t="s">
        <v>246</v>
      </c>
      <c r="G212" s="36" t="s">
        <v>95</v>
      </c>
      <c r="H212" s="37" t="s">
        <v>167</v>
      </c>
      <c r="I212" s="35" t="s">
        <v>254</v>
      </c>
      <c r="J212" s="35"/>
      <c r="K212" s="38" t="s">
        <v>86</v>
      </c>
      <c r="L212" s="39" t="s">
        <v>78</v>
      </c>
      <c r="M212" s="40" t="s">
        <v>500</v>
      </c>
      <c r="N212" s="42" t="s">
        <v>98</v>
      </c>
      <c r="O212" s="41" t="s">
        <v>427</v>
      </c>
      <c r="P212" s="40"/>
      <c r="Q212" s="40"/>
    </row>
    <row r="213" spans="3:17" s="39" customFormat="1">
      <c r="C213" s="35"/>
      <c r="D213" s="36" t="s">
        <v>586</v>
      </c>
      <c r="E213" s="36" t="s">
        <v>587</v>
      </c>
      <c r="F213" s="36" t="s">
        <v>107</v>
      </c>
      <c r="G213" s="36" t="s">
        <v>95</v>
      </c>
      <c r="H213" s="37" t="s">
        <v>588</v>
      </c>
      <c r="I213" s="35" t="s">
        <v>97</v>
      </c>
      <c r="J213" s="35"/>
      <c r="K213" s="38" t="s">
        <v>86</v>
      </c>
      <c r="L213" s="39" t="s">
        <v>78</v>
      </c>
      <c r="M213" s="40" t="s">
        <v>588</v>
      </c>
      <c r="N213" s="42" t="s">
        <v>98</v>
      </c>
      <c r="O213" s="41">
        <v>430630</v>
      </c>
      <c r="P213" s="40" t="s">
        <v>589</v>
      </c>
      <c r="Q213" s="40" t="s">
        <v>111</v>
      </c>
    </row>
    <row r="214" spans="3:17" s="39" customFormat="1">
      <c r="C214" s="35"/>
      <c r="D214" s="36" t="s">
        <v>590</v>
      </c>
      <c r="E214" s="36" t="s">
        <v>405</v>
      </c>
      <c r="F214" s="36" t="s">
        <v>171</v>
      </c>
      <c r="G214" s="36" t="s">
        <v>95</v>
      </c>
      <c r="H214" s="37" t="s">
        <v>591</v>
      </c>
      <c r="I214" s="35" t="s">
        <v>327</v>
      </c>
      <c r="J214" s="35"/>
      <c r="K214" s="38" t="s">
        <v>86</v>
      </c>
      <c r="L214" s="39" t="s">
        <v>78</v>
      </c>
      <c r="M214" s="40" t="s">
        <v>591</v>
      </c>
      <c r="N214" s="42" t="s">
        <v>98</v>
      </c>
      <c r="O214" s="41">
        <v>460924</v>
      </c>
      <c r="P214" s="40" t="s">
        <v>592</v>
      </c>
      <c r="Q214" s="40" t="s">
        <v>593</v>
      </c>
    </row>
    <row r="215" spans="3:17" s="39" customFormat="1">
      <c r="C215" s="35"/>
      <c r="D215" s="36" t="s">
        <v>594</v>
      </c>
      <c r="E215" s="36" t="s">
        <v>264</v>
      </c>
      <c r="F215" s="36" t="s">
        <v>94</v>
      </c>
      <c r="G215" s="36" t="s">
        <v>95</v>
      </c>
      <c r="H215" s="37" t="s">
        <v>595</v>
      </c>
      <c r="I215" s="35" t="s">
        <v>97</v>
      </c>
      <c r="J215" s="35"/>
      <c r="K215" s="38" t="s">
        <v>86</v>
      </c>
      <c r="L215" s="39" t="s">
        <v>78</v>
      </c>
      <c r="M215" s="40" t="s">
        <v>595</v>
      </c>
      <c r="N215" s="42" t="s">
        <v>98</v>
      </c>
      <c r="O215" s="41">
        <v>388383</v>
      </c>
      <c r="P215" s="40" t="s">
        <v>596</v>
      </c>
      <c r="Q215" s="40" t="s">
        <v>597</v>
      </c>
    </row>
    <row r="216" spans="3:17" s="39" customFormat="1">
      <c r="C216" s="35"/>
      <c r="D216" s="36" t="s">
        <v>594</v>
      </c>
      <c r="E216" s="36" t="s">
        <v>264</v>
      </c>
      <c r="F216" s="36" t="s">
        <v>94</v>
      </c>
      <c r="G216" s="36" t="s">
        <v>95</v>
      </c>
      <c r="H216" s="37" t="s">
        <v>595</v>
      </c>
      <c r="I216" s="35" t="s">
        <v>97</v>
      </c>
      <c r="J216" s="35"/>
      <c r="K216" s="35"/>
      <c r="M216" s="40" t="s">
        <v>595</v>
      </c>
      <c r="N216" s="42" t="s">
        <v>98</v>
      </c>
      <c r="O216" s="41">
        <v>388383</v>
      </c>
      <c r="P216" s="40" t="s">
        <v>596</v>
      </c>
      <c r="Q216" s="40" t="s">
        <v>169</v>
      </c>
    </row>
    <row r="217" spans="3:17" s="39" customFormat="1">
      <c r="C217" s="35"/>
      <c r="D217" s="36" t="s">
        <v>594</v>
      </c>
      <c r="E217" s="36" t="s">
        <v>264</v>
      </c>
      <c r="F217" s="36" t="s">
        <v>94</v>
      </c>
      <c r="G217" s="36" t="s">
        <v>95</v>
      </c>
      <c r="H217" s="37" t="s">
        <v>595</v>
      </c>
      <c r="I217" s="35" t="s">
        <v>97</v>
      </c>
      <c r="J217" s="35"/>
      <c r="K217" s="35"/>
      <c r="M217" s="40" t="s">
        <v>595</v>
      </c>
      <c r="N217" s="42" t="s">
        <v>98</v>
      </c>
      <c r="O217" s="41">
        <v>388383</v>
      </c>
      <c r="P217" s="40" t="s">
        <v>596</v>
      </c>
      <c r="Q217" s="40" t="s">
        <v>363</v>
      </c>
    </row>
    <row r="218" spans="3:17" s="39" customFormat="1">
      <c r="C218" s="35"/>
      <c r="D218" s="36" t="s">
        <v>594</v>
      </c>
      <c r="E218" s="36" t="s">
        <v>264</v>
      </c>
      <c r="F218" s="36" t="s">
        <v>94</v>
      </c>
      <c r="G218" s="36" t="s">
        <v>95</v>
      </c>
      <c r="H218" s="37" t="s">
        <v>595</v>
      </c>
      <c r="I218" s="35" t="s">
        <v>97</v>
      </c>
      <c r="J218" s="35"/>
      <c r="K218" s="35"/>
      <c r="M218" s="40" t="s">
        <v>595</v>
      </c>
      <c r="N218" s="42" t="s">
        <v>98</v>
      </c>
      <c r="O218" s="41">
        <v>388383</v>
      </c>
      <c r="P218" s="40" t="s">
        <v>596</v>
      </c>
      <c r="Q218" s="40" t="s">
        <v>104</v>
      </c>
    </row>
    <row r="219" spans="3:17" s="39" customFormat="1">
      <c r="C219" s="35"/>
      <c r="D219" s="36" t="s">
        <v>598</v>
      </c>
      <c r="E219" s="36" t="s">
        <v>177</v>
      </c>
      <c r="F219" s="36" t="s">
        <v>107</v>
      </c>
      <c r="G219" s="36" t="s">
        <v>95</v>
      </c>
      <c r="H219" s="37" t="s">
        <v>599</v>
      </c>
      <c r="I219" s="35" t="s">
        <v>97</v>
      </c>
      <c r="J219" s="35"/>
      <c r="K219" s="38" t="s">
        <v>86</v>
      </c>
      <c r="L219" s="39" t="s">
        <v>78</v>
      </c>
      <c r="M219" s="40" t="s">
        <v>599</v>
      </c>
      <c r="N219" s="42" t="s">
        <v>98</v>
      </c>
      <c r="O219" s="41">
        <v>434872</v>
      </c>
      <c r="P219" s="40" t="s">
        <v>600</v>
      </c>
      <c r="Q219" s="40" t="s">
        <v>111</v>
      </c>
    </row>
    <row r="220" spans="3:17" s="39" customFormat="1">
      <c r="C220" s="35"/>
      <c r="D220" s="36" t="s">
        <v>601</v>
      </c>
      <c r="E220" s="36" t="s">
        <v>602</v>
      </c>
      <c r="F220" s="36" t="s">
        <v>160</v>
      </c>
      <c r="G220" s="36" t="s">
        <v>95</v>
      </c>
      <c r="H220" s="37" t="s">
        <v>603</v>
      </c>
      <c r="I220" s="35" t="s">
        <v>262</v>
      </c>
      <c r="J220" s="35"/>
      <c r="K220" s="38" t="s">
        <v>86</v>
      </c>
      <c r="L220" s="39" t="s">
        <v>78</v>
      </c>
      <c r="M220" s="40" t="s">
        <v>603</v>
      </c>
      <c r="N220" s="42" t="s">
        <v>98</v>
      </c>
      <c r="O220" s="41">
        <v>292372</v>
      </c>
      <c r="P220" s="40" t="s">
        <v>604</v>
      </c>
      <c r="Q220" s="40" t="s">
        <v>104</v>
      </c>
    </row>
    <row r="221" spans="3:17" s="39" customFormat="1">
      <c r="C221" s="35"/>
      <c r="D221" s="36" t="s">
        <v>601</v>
      </c>
      <c r="E221" s="36" t="s">
        <v>605</v>
      </c>
      <c r="F221" s="36" t="s">
        <v>160</v>
      </c>
      <c r="G221" s="36" t="s">
        <v>95</v>
      </c>
      <c r="H221" s="37" t="s">
        <v>603</v>
      </c>
      <c r="I221" s="35" t="s">
        <v>262</v>
      </c>
      <c r="J221" s="35"/>
      <c r="K221" s="38" t="s">
        <v>86</v>
      </c>
      <c r="L221" s="39" t="s">
        <v>78</v>
      </c>
      <c r="M221" s="40" t="s">
        <v>603</v>
      </c>
      <c r="N221" s="42" t="s">
        <v>98</v>
      </c>
      <c r="O221" s="41">
        <v>292373</v>
      </c>
      <c r="P221" s="40" t="s">
        <v>606</v>
      </c>
      <c r="Q221" s="40" t="s">
        <v>104</v>
      </c>
    </row>
    <row r="222" spans="3:17" s="39" customFormat="1">
      <c r="C222" s="35"/>
      <c r="D222" s="36" t="s">
        <v>607</v>
      </c>
      <c r="E222" s="36" t="s">
        <v>608</v>
      </c>
      <c r="F222" s="36" t="s">
        <v>238</v>
      </c>
      <c r="G222" s="36" t="s">
        <v>95</v>
      </c>
      <c r="H222" s="37" t="s">
        <v>609</v>
      </c>
      <c r="I222" s="35" t="s">
        <v>240</v>
      </c>
      <c r="J222" s="35"/>
      <c r="K222" s="38" t="s">
        <v>86</v>
      </c>
      <c r="L222" s="39" t="s">
        <v>78</v>
      </c>
      <c r="M222" s="40" t="s">
        <v>609</v>
      </c>
      <c r="N222" s="42" t="s">
        <v>98</v>
      </c>
      <c r="O222" s="41">
        <v>268005</v>
      </c>
      <c r="P222" s="40" t="s">
        <v>610</v>
      </c>
      <c r="Q222" s="40" t="s">
        <v>115</v>
      </c>
    </row>
    <row r="223" spans="3:17" s="39" customFormat="1">
      <c r="C223" s="35"/>
      <c r="D223" s="36" t="s">
        <v>607</v>
      </c>
      <c r="E223" s="36" t="s">
        <v>608</v>
      </c>
      <c r="F223" s="36" t="s">
        <v>238</v>
      </c>
      <c r="G223" s="36" t="s">
        <v>95</v>
      </c>
      <c r="H223" s="37" t="s">
        <v>609</v>
      </c>
      <c r="I223" s="35" t="s">
        <v>240</v>
      </c>
      <c r="J223" s="35"/>
      <c r="K223" s="35"/>
      <c r="M223" s="40" t="s">
        <v>609</v>
      </c>
      <c r="N223" s="42" t="s">
        <v>98</v>
      </c>
      <c r="O223" s="41">
        <v>268005</v>
      </c>
      <c r="P223" s="40" t="s">
        <v>610</v>
      </c>
      <c r="Q223" s="40" t="s">
        <v>116</v>
      </c>
    </row>
    <row r="224" spans="3:17" s="39" customFormat="1">
      <c r="C224" s="35"/>
      <c r="D224" s="36" t="s">
        <v>611</v>
      </c>
      <c r="E224" s="36" t="s">
        <v>612</v>
      </c>
      <c r="F224" s="36" t="s">
        <v>613</v>
      </c>
      <c r="G224" s="36" t="s">
        <v>95</v>
      </c>
      <c r="H224" s="37" t="s">
        <v>614</v>
      </c>
      <c r="I224" s="35" t="s">
        <v>97</v>
      </c>
      <c r="J224" s="35"/>
      <c r="K224" s="38" t="s">
        <v>86</v>
      </c>
      <c r="L224" s="39" t="s">
        <v>78</v>
      </c>
      <c r="M224" s="40" t="s">
        <v>614</v>
      </c>
      <c r="N224" s="42" t="s">
        <v>98</v>
      </c>
      <c r="O224" s="41">
        <v>477410</v>
      </c>
      <c r="P224" s="40" t="s">
        <v>615</v>
      </c>
      <c r="Q224" s="40" t="s">
        <v>111</v>
      </c>
    </row>
    <row r="225" spans="3:17" s="39" customFormat="1">
      <c r="C225" s="35"/>
      <c r="D225" s="36" t="s">
        <v>616</v>
      </c>
      <c r="E225" s="36" t="s">
        <v>617</v>
      </c>
      <c r="F225" s="36" t="s">
        <v>94</v>
      </c>
      <c r="G225" s="36" t="s">
        <v>95</v>
      </c>
      <c r="H225" s="37" t="s">
        <v>618</v>
      </c>
      <c r="I225" s="35" t="s">
        <v>97</v>
      </c>
      <c r="J225" s="35"/>
      <c r="K225" s="38" t="s">
        <v>86</v>
      </c>
      <c r="L225" s="39" t="s">
        <v>78</v>
      </c>
      <c r="M225" s="40" t="s">
        <v>619</v>
      </c>
      <c r="N225" s="42" t="s">
        <v>98</v>
      </c>
      <c r="O225" s="41" t="s">
        <v>427</v>
      </c>
      <c r="P225" s="40"/>
      <c r="Q225" s="40"/>
    </row>
    <row r="226" spans="3:17" s="39" customFormat="1">
      <c r="C226" s="35"/>
      <c r="D226" s="36" t="s">
        <v>616</v>
      </c>
      <c r="E226" s="36" t="s">
        <v>620</v>
      </c>
      <c r="F226" s="36" t="s">
        <v>94</v>
      </c>
      <c r="G226" s="36" t="s">
        <v>95</v>
      </c>
      <c r="H226" s="37" t="s">
        <v>618</v>
      </c>
      <c r="I226" s="35" t="s">
        <v>97</v>
      </c>
      <c r="J226" s="35"/>
      <c r="K226" s="38" t="s">
        <v>86</v>
      </c>
      <c r="L226" s="39" t="s">
        <v>78</v>
      </c>
      <c r="M226" s="40" t="s">
        <v>621</v>
      </c>
      <c r="N226" s="42" t="s">
        <v>98</v>
      </c>
      <c r="O226" s="41" t="s">
        <v>427</v>
      </c>
      <c r="P226" s="40"/>
      <c r="Q226" s="40"/>
    </row>
    <row r="227" spans="3:17" s="39" customFormat="1">
      <c r="C227" s="35"/>
      <c r="D227" s="36" t="s">
        <v>616</v>
      </c>
      <c r="E227" s="36" t="s">
        <v>620</v>
      </c>
      <c r="F227" s="36" t="s">
        <v>94</v>
      </c>
      <c r="G227" s="36" t="s">
        <v>95</v>
      </c>
      <c r="H227" s="37" t="s">
        <v>618</v>
      </c>
      <c r="I227" s="35" t="s">
        <v>97</v>
      </c>
      <c r="J227" s="35"/>
      <c r="K227" s="35"/>
      <c r="M227" s="40" t="s">
        <v>621</v>
      </c>
      <c r="N227" s="42" t="s">
        <v>98</v>
      </c>
      <c r="O227" s="41" t="s">
        <v>427</v>
      </c>
      <c r="P227" s="40"/>
      <c r="Q227" s="40"/>
    </row>
    <row r="228" spans="3:17" s="39" customFormat="1">
      <c r="C228" s="35"/>
      <c r="D228" s="36" t="s">
        <v>622</v>
      </c>
      <c r="E228" s="36" t="s">
        <v>405</v>
      </c>
      <c r="F228" s="36" t="s">
        <v>160</v>
      </c>
      <c r="G228" s="36" t="s">
        <v>95</v>
      </c>
      <c r="H228" s="37" t="s">
        <v>623</v>
      </c>
      <c r="I228" s="35" t="s">
        <v>97</v>
      </c>
      <c r="J228" s="35"/>
      <c r="K228" s="38" t="s">
        <v>86</v>
      </c>
      <c r="L228" s="39" t="s">
        <v>78</v>
      </c>
      <c r="M228" s="40" t="s">
        <v>623</v>
      </c>
      <c r="N228" s="42" t="s">
        <v>98</v>
      </c>
      <c r="O228" s="41">
        <v>436461</v>
      </c>
      <c r="P228" s="40" t="s">
        <v>624</v>
      </c>
      <c r="Q228" s="40" t="s">
        <v>104</v>
      </c>
    </row>
    <row r="229" spans="3:17">
      <c r="N229" s="26"/>
      <c r="O229" s="26"/>
    </row>
    <row r="230" spans="3:17">
      <c r="N230" s="26"/>
      <c r="O230" s="26"/>
    </row>
    <row r="231" spans="3:17">
      <c r="N231" s="26"/>
      <c r="O231" s="26"/>
    </row>
    <row r="232" spans="3:17">
      <c r="N232" s="26"/>
      <c r="O232" s="26"/>
    </row>
    <row r="233" spans="3:17">
      <c r="N233" s="26"/>
      <c r="O233" s="26"/>
    </row>
    <row r="234" spans="3:17">
      <c r="N234" s="26"/>
      <c r="O234" s="26"/>
    </row>
    <row r="235" spans="3:17">
      <c r="N235" s="26"/>
      <c r="O235" s="26"/>
    </row>
    <row r="236" spans="3:17">
      <c r="N236" s="26"/>
      <c r="O236" s="26"/>
    </row>
    <row r="237" spans="3:17">
      <c r="N237" s="26"/>
      <c r="O237" s="26"/>
    </row>
    <row r="238" spans="3:17">
      <c r="N238" s="26"/>
      <c r="O238" s="26"/>
    </row>
    <row r="239" spans="3:17">
      <c r="N239" s="26"/>
      <c r="O239" s="26"/>
    </row>
    <row r="240" spans="3:17">
      <c r="N240" s="26"/>
      <c r="O240" s="26"/>
    </row>
    <row r="241" spans="13:17">
      <c r="N241" s="26"/>
      <c r="O241" s="26"/>
    </row>
    <row r="242" spans="13:17">
      <c r="N242" s="26"/>
      <c r="O242" s="26"/>
    </row>
    <row r="243" spans="13:17">
      <c r="N243" s="26"/>
      <c r="O243" s="26"/>
    </row>
    <row r="244" spans="13:17">
      <c r="N244" s="26"/>
      <c r="O244" s="26"/>
    </row>
    <row r="245" spans="13:17">
      <c r="N245" s="26"/>
      <c r="O245" s="26"/>
    </row>
    <row r="246" spans="13:17">
      <c r="M246" s="33"/>
      <c r="N246" s="34"/>
      <c r="O246" s="34"/>
      <c r="P246" s="33"/>
      <c r="Q246" s="33"/>
    </row>
    <row r="247" spans="13:17">
      <c r="M247" s="33"/>
      <c r="N247" s="34"/>
      <c r="O247" s="34"/>
      <c r="P247" s="33"/>
      <c r="Q247" s="33"/>
    </row>
    <row r="248" spans="13:17">
      <c r="M248" s="33"/>
      <c r="N248" s="34"/>
      <c r="O248" s="34"/>
      <c r="P248" s="33"/>
      <c r="Q248" s="33"/>
    </row>
    <row r="249" spans="13:17">
      <c r="M249" s="33"/>
      <c r="N249" s="34"/>
      <c r="O249" s="34"/>
      <c r="P249" s="33"/>
      <c r="Q249" s="33"/>
    </row>
    <row r="250" spans="13:17">
      <c r="M250" s="33"/>
      <c r="N250" s="34"/>
      <c r="O250" s="34"/>
      <c r="P250" s="33"/>
      <c r="Q250" s="33"/>
    </row>
    <row r="251" spans="13:17">
      <c r="N251" s="26"/>
      <c r="O251" s="26"/>
    </row>
    <row r="252" spans="13:17">
      <c r="N252" s="26"/>
      <c r="O252" s="26"/>
    </row>
    <row r="253" spans="13:17">
      <c r="M253" s="33"/>
      <c r="N253" s="34"/>
      <c r="O253" s="34"/>
      <c r="P253" s="33"/>
      <c r="Q253" s="33"/>
    </row>
    <row r="254" spans="13:17">
      <c r="M254" s="33"/>
      <c r="N254" s="34"/>
      <c r="O254" s="34"/>
      <c r="P254" s="33"/>
      <c r="Q254" s="33"/>
    </row>
    <row r="255" spans="13:17">
      <c r="M255" s="33"/>
      <c r="N255" s="34"/>
      <c r="O255" s="34"/>
      <c r="P255" s="33"/>
      <c r="Q255" s="33"/>
    </row>
    <row r="256" spans="13:17">
      <c r="M256" s="33"/>
      <c r="N256" s="34"/>
      <c r="O256" s="34"/>
      <c r="P256" s="33"/>
      <c r="Q256" s="33"/>
    </row>
    <row r="257" spans="13:17">
      <c r="M257" s="33"/>
      <c r="N257" s="34"/>
      <c r="O257" s="34"/>
      <c r="P257" s="33"/>
      <c r="Q257" s="33"/>
    </row>
    <row r="258" spans="13:17">
      <c r="M258" s="33"/>
      <c r="N258" s="34"/>
      <c r="O258" s="34"/>
      <c r="P258" s="33"/>
      <c r="Q258" s="33"/>
    </row>
    <row r="259" spans="13:17">
      <c r="M259" s="33"/>
      <c r="N259" s="34"/>
      <c r="O259" s="34"/>
      <c r="P259" s="33"/>
      <c r="Q259" s="33"/>
    </row>
    <row r="260" spans="13:17">
      <c r="M260" s="33"/>
      <c r="N260" s="34"/>
      <c r="O260" s="34"/>
      <c r="P260" s="33"/>
      <c r="Q260" s="33"/>
    </row>
    <row r="261" spans="13:17">
      <c r="M261" s="33"/>
      <c r="N261" s="34"/>
      <c r="O261" s="34"/>
      <c r="P261" s="33"/>
      <c r="Q261" s="33"/>
    </row>
    <row r="262" spans="13:17">
      <c r="M262" s="33"/>
      <c r="N262" s="34"/>
      <c r="O262" s="34"/>
      <c r="P262" s="33"/>
      <c r="Q262" s="33"/>
    </row>
    <row r="263" spans="13:17">
      <c r="M263" s="33"/>
      <c r="N263" s="34"/>
      <c r="O263" s="34"/>
      <c r="P263" s="33"/>
      <c r="Q263" s="33"/>
    </row>
    <row r="264" spans="13:17">
      <c r="M264" s="33"/>
      <c r="N264" s="34"/>
      <c r="O264" s="34"/>
      <c r="P264" s="33"/>
      <c r="Q264" s="33"/>
    </row>
    <row r="265" spans="13:17">
      <c r="M265" s="33"/>
      <c r="N265" s="34"/>
      <c r="O265" s="34"/>
      <c r="P265" s="33"/>
      <c r="Q265" s="33"/>
    </row>
    <row r="266" spans="13:17">
      <c r="N266" s="26"/>
      <c r="O266" s="26"/>
    </row>
    <row r="267" spans="13:17">
      <c r="M267" s="33"/>
      <c r="N267" s="34"/>
      <c r="O267" s="34"/>
      <c r="P267" s="33"/>
      <c r="Q267" s="33"/>
    </row>
    <row r="268" spans="13:17">
      <c r="N268" s="26"/>
      <c r="O268" s="26"/>
    </row>
    <row r="269" spans="13:17">
      <c r="N269" s="26"/>
      <c r="O269" s="26"/>
    </row>
    <row r="270" spans="13:17">
      <c r="N270" s="26"/>
      <c r="O270" s="26"/>
    </row>
    <row r="271" spans="13:17">
      <c r="N271" s="26"/>
      <c r="O271" s="26"/>
    </row>
    <row r="272" spans="13:17">
      <c r="N272" s="26"/>
      <c r="O272" s="26"/>
    </row>
    <row r="273" spans="13:17">
      <c r="N273" s="26"/>
      <c r="O273" s="26"/>
    </row>
    <row r="274" spans="13:17">
      <c r="N274" s="26"/>
      <c r="O274" s="26"/>
    </row>
    <row r="275" spans="13:17">
      <c r="N275" s="26"/>
      <c r="O275" s="26"/>
    </row>
    <row r="276" spans="13:17">
      <c r="N276" s="26"/>
      <c r="O276" s="26"/>
    </row>
    <row r="277" spans="13:17">
      <c r="M277" s="33"/>
      <c r="N277" s="34"/>
      <c r="O277" s="34"/>
      <c r="P277" s="33"/>
      <c r="Q277" s="33"/>
    </row>
    <row r="278" spans="13:17">
      <c r="M278" s="33"/>
      <c r="N278" s="34"/>
      <c r="O278" s="34"/>
      <c r="P278" s="33"/>
      <c r="Q278" s="33"/>
    </row>
    <row r="279" spans="13:17">
      <c r="M279" s="33"/>
      <c r="N279" s="34"/>
      <c r="O279" s="34"/>
      <c r="P279" s="33"/>
      <c r="Q279" s="33"/>
    </row>
    <row r="280" spans="13:17">
      <c r="M280" s="33"/>
      <c r="N280" s="34"/>
      <c r="O280" s="34"/>
      <c r="P280" s="33"/>
      <c r="Q280" s="33"/>
    </row>
    <row r="281" spans="13:17">
      <c r="M281" s="33"/>
      <c r="N281" s="34"/>
      <c r="O281" s="34"/>
      <c r="P281" s="33"/>
      <c r="Q281" s="33"/>
    </row>
    <row r="282" spans="13:17">
      <c r="M282" s="33"/>
      <c r="N282" s="34"/>
      <c r="O282" s="34"/>
      <c r="P282" s="33"/>
      <c r="Q282" s="33"/>
    </row>
    <row r="283" spans="13:17">
      <c r="M283" s="33"/>
      <c r="N283" s="34"/>
      <c r="O283" s="34"/>
      <c r="P283" s="33"/>
      <c r="Q283" s="33"/>
    </row>
    <row r="284" spans="13:17">
      <c r="M284" s="33"/>
      <c r="N284" s="34"/>
      <c r="O284" s="34"/>
      <c r="P284" s="33"/>
      <c r="Q284" s="33"/>
    </row>
    <row r="285" spans="13:17">
      <c r="M285" s="33"/>
      <c r="N285" s="34"/>
      <c r="O285" s="34"/>
      <c r="P285" s="33"/>
      <c r="Q285" s="33"/>
    </row>
    <row r="286" spans="13:17">
      <c r="M286" s="33"/>
      <c r="N286" s="34"/>
      <c r="O286" s="34"/>
      <c r="P286" s="33"/>
      <c r="Q286" s="33"/>
    </row>
    <row r="287" spans="13:17">
      <c r="M287" s="33"/>
      <c r="N287" s="34"/>
      <c r="O287" s="34"/>
      <c r="P287" s="33"/>
      <c r="Q287" s="33"/>
    </row>
    <row r="288" spans="13:17">
      <c r="N288" s="26"/>
      <c r="O288" s="26"/>
    </row>
    <row r="289" spans="13:17">
      <c r="N289" s="26"/>
      <c r="O289" s="26"/>
    </row>
    <row r="290" spans="13:17">
      <c r="N290" s="26"/>
      <c r="O290" s="26"/>
    </row>
    <row r="291" spans="13:17">
      <c r="N291" s="26"/>
      <c r="O291" s="26"/>
    </row>
    <row r="292" spans="13:17">
      <c r="N292" s="26"/>
      <c r="O292" s="26"/>
    </row>
    <row r="293" spans="13:17">
      <c r="M293" s="33"/>
      <c r="N293" s="34"/>
      <c r="O293" s="34"/>
      <c r="P293" s="33"/>
      <c r="Q293" s="33"/>
    </row>
    <row r="294" spans="13:17">
      <c r="M294" s="33"/>
      <c r="N294" s="34"/>
      <c r="O294" s="34"/>
      <c r="P294" s="33"/>
      <c r="Q294" s="33"/>
    </row>
    <row r="295" spans="13:17">
      <c r="M295" s="33"/>
      <c r="N295" s="34"/>
      <c r="O295" s="34"/>
      <c r="P295" s="33"/>
      <c r="Q295" s="33"/>
    </row>
    <row r="296" spans="13:17">
      <c r="N296" s="26"/>
      <c r="O296" s="26"/>
    </row>
    <row r="297" spans="13:17">
      <c r="N297" s="26"/>
      <c r="O297" s="26"/>
    </row>
    <row r="298" spans="13:17">
      <c r="M298" s="33"/>
      <c r="N298" s="34"/>
      <c r="O298" s="34"/>
      <c r="P298" s="33"/>
      <c r="Q298" s="33"/>
    </row>
    <row r="299" spans="13:17">
      <c r="N299" s="26"/>
      <c r="O299" s="26"/>
    </row>
    <row r="300" spans="13:17">
      <c r="M300" s="33"/>
      <c r="N300" s="34"/>
      <c r="O300" s="34"/>
      <c r="P300" s="33"/>
      <c r="Q300" s="33"/>
    </row>
    <row r="301" spans="13:17">
      <c r="N301" s="26"/>
      <c r="O301" s="26"/>
    </row>
    <row r="302" spans="13:17">
      <c r="N302" s="26"/>
      <c r="O302" s="26"/>
    </row>
    <row r="303" spans="13:17">
      <c r="N303" s="26"/>
      <c r="O303" s="26"/>
    </row>
    <row r="304" spans="13:17">
      <c r="N304" s="26"/>
      <c r="O304" s="26"/>
    </row>
    <row r="305" spans="13:17">
      <c r="N305" s="26"/>
      <c r="O305" s="26"/>
    </row>
    <row r="306" spans="13:17">
      <c r="N306" s="26"/>
      <c r="O306" s="26"/>
    </row>
    <row r="307" spans="13:17">
      <c r="N307" s="26"/>
      <c r="O307" s="26"/>
    </row>
    <row r="308" spans="13:17">
      <c r="N308" s="26"/>
      <c r="O308" s="26"/>
    </row>
    <row r="309" spans="13:17">
      <c r="M309" s="33"/>
      <c r="N309" s="34"/>
      <c r="O309" s="34"/>
      <c r="P309" s="33"/>
      <c r="Q309" s="33"/>
    </row>
    <row r="310" spans="13:17">
      <c r="M310" s="33"/>
      <c r="N310" s="34"/>
      <c r="O310" s="34"/>
      <c r="P310" s="33"/>
      <c r="Q310" s="33"/>
    </row>
    <row r="311" spans="13:17">
      <c r="M311" s="33"/>
      <c r="N311" s="34"/>
      <c r="O311" s="34"/>
      <c r="P311" s="33"/>
      <c r="Q311" s="33"/>
    </row>
    <row r="312" spans="13:17">
      <c r="M312" s="33"/>
      <c r="N312" s="34"/>
      <c r="O312" s="34"/>
      <c r="P312" s="33"/>
      <c r="Q312" s="33"/>
    </row>
    <row r="313" spans="13:17">
      <c r="N313" s="26"/>
      <c r="O313" s="26"/>
    </row>
    <row r="314" spans="13:17">
      <c r="M314" s="33"/>
      <c r="N314" s="34"/>
      <c r="O314" s="34"/>
      <c r="P314" s="33"/>
      <c r="Q314" s="33"/>
    </row>
    <row r="315" spans="13:17">
      <c r="M315" s="33"/>
      <c r="N315" s="34"/>
      <c r="O315" s="34"/>
      <c r="P315" s="33"/>
      <c r="Q315" s="33"/>
    </row>
    <row r="316" spans="13:17">
      <c r="M316" s="33"/>
      <c r="N316" s="34"/>
      <c r="O316" s="34"/>
      <c r="P316" s="33"/>
      <c r="Q316" s="33"/>
    </row>
    <row r="317" spans="13:17">
      <c r="M317" s="33"/>
      <c r="N317" s="34"/>
      <c r="O317" s="34"/>
      <c r="P317" s="33"/>
      <c r="Q317" s="33"/>
    </row>
    <row r="318" spans="13:17">
      <c r="M318" s="33"/>
      <c r="N318" s="34"/>
      <c r="O318" s="34"/>
      <c r="P318" s="33"/>
      <c r="Q318" s="33"/>
    </row>
    <row r="319" spans="13:17">
      <c r="M319" s="33"/>
      <c r="N319" s="34"/>
      <c r="O319" s="34"/>
      <c r="P319" s="33"/>
      <c r="Q319" s="33"/>
    </row>
    <row r="320" spans="13:17">
      <c r="M320" s="33"/>
      <c r="N320" s="34"/>
      <c r="O320" s="34"/>
      <c r="P320" s="33"/>
      <c r="Q320" s="33"/>
    </row>
    <row r="321" spans="13:17">
      <c r="N321" s="26"/>
      <c r="O321" s="26"/>
    </row>
    <row r="322" spans="13:17">
      <c r="N322" s="26"/>
      <c r="O322" s="26"/>
    </row>
    <row r="323" spans="13:17">
      <c r="M323" s="33"/>
      <c r="N323" s="34"/>
      <c r="O323" s="34"/>
      <c r="P323" s="33"/>
      <c r="Q323" s="33"/>
    </row>
    <row r="324" spans="13:17">
      <c r="M324" s="33"/>
      <c r="N324" s="34"/>
      <c r="O324" s="34"/>
      <c r="P324" s="33"/>
      <c r="Q324" s="33"/>
    </row>
    <row r="325" spans="13:17">
      <c r="M325" s="33"/>
      <c r="N325" s="34"/>
      <c r="O325" s="34"/>
      <c r="P325" s="33"/>
      <c r="Q325" s="33"/>
    </row>
    <row r="326" spans="13:17">
      <c r="M326" s="33"/>
      <c r="N326" s="34"/>
      <c r="O326" s="34"/>
      <c r="P326" s="33"/>
      <c r="Q326" s="33"/>
    </row>
    <row r="327" spans="13:17">
      <c r="M327" s="33"/>
      <c r="N327" s="34"/>
      <c r="O327" s="34"/>
      <c r="P327" s="33"/>
      <c r="Q327" s="33"/>
    </row>
    <row r="328" spans="13:17">
      <c r="M328" s="33"/>
      <c r="N328" s="34"/>
      <c r="O328" s="34"/>
      <c r="P328" s="33"/>
      <c r="Q328" s="33"/>
    </row>
    <row r="329" spans="13:17">
      <c r="N329" s="26"/>
      <c r="O329" s="26"/>
    </row>
    <row r="330" spans="13:17">
      <c r="N330" s="26"/>
      <c r="O330" s="26"/>
    </row>
    <row r="331" spans="13:17">
      <c r="N331" s="26"/>
      <c r="O331" s="26"/>
    </row>
    <row r="332" spans="13:17">
      <c r="N332" s="26"/>
      <c r="O332" s="26"/>
    </row>
    <row r="333" spans="13:17">
      <c r="N333" s="26"/>
      <c r="O333" s="26"/>
    </row>
    <row r="334" spans="13:17">
      <c r="M334" s="33"/>
      <c r="N334" s="34"/>
      <c r="O334" s="34"/>
      <c r="P334" s="33"/>
      <c r="Q334" s="33"/>
    </row>
    <row r="335" spans="13:17">
      <c r="M335" s="33"/>
      <c r="N335" s="34"/>
      <c r="O335" s="34"/>
      <c r="P335" s="33"/>
      <c r="Q335" s="33"/>
    </row>
    <row r="336" spans="13:17">
      <c r="M336" s="33"/>
      <c r="N336" s="34"/>
      <c r="O336" s="34"/>
      <c r="P336" s="33"/>
      <c r="Q336" s="33"/>
    </row>
    <row r="337" spans="13:17">
      <c r="M337" s="33"/>
      <c r="N337" s="34"/>
      <c r="O337" s="34"/>
      <c r="P337" s="33"/>
      <c r="Q337" s="33"/>
    </row>
    <row r="338" spans="13:17">
      <c r="M338" s="33"/>
      <c r="N338" s="34"/>
      <c r="O338" s="34"/>
      <c r="P338" s="33"/>
      <c r="Q338" s="33"/>
    </row>
    <row r="339" spans="13:17">
      <c r="M339" s="33"/>
      <c r="N339" s="34"/>
      <c r="O339" s="34"/>
      <c r="P339" s="33"/>
      <c r="Q339" s="33"/>
    </row>
    <row r="340" spans="13:17">
      <c r="M340" s="33"/>
      <c r="N340" s="34"/>
      <c r="O340" s="34"/>
      <c r="P340" s="33"/>
      <c r="Q340" s="33"/>
    </row>
    <row r="341" spans="13:17">
      <c r="M341" s="33"/>
      <c r="N341" s="34"/>
      <c r="O341" s="34"/>
      <c r="P341" s="33"/>
      <c r="Q341" s="33"/>
    </row>
    <row r="342" spans="13:17">
      <c r="M342" s="33"/>
      <c r="N342" s="34"/>
      <c r="O342" s="34"/>
      <c r="P342" s="33"/>
      <c r="Q342" s="33"/>
    </row>
    <row r="343" spans="13:17">
      <c r="M343" s="33"/>
      <c r="N343" s="34"/>
      <c r="O343" s="34"/>
      <c r="P343" s="33"/>
      <c r="Q343" s="33"/>
    </row>
    <row r="344" spans="13:17">
      <c r="M344" s="33"/>
      <c r="N344" s="34"/>
      <c r="O344" s="34"/>
      <c r="P344" s="33"/>
      <c r="Q344" s="33"/>
    </row>
    <row r="345" spans="13:17">
      <c r="M345" s="33"/>
      <c r="N345" s="34"/>
      <c r="O345" s="34"/>
      <c r="P345" s="33"/>
      <c r="Q345" s="33"/>
    </row>
    <row r="346" spans="13:17">
      <c r="M346" s="33"/>
      <c r="N346" s="34"/>
      <c r="O346" s="34"/>
      <c r="P346" s="33"/>
      <c r="Q346" s="33"/>
    </row>
    <row r="347" spans="13:17">
      <c r="M347" s="33"/>
      <c r="N347" s="34"/>
      <c r="O347" s="34"/>
      <c r="P347" s="33"/>
      <c r="Q347" s="33"/>
    </row>
    <row r="348" spans="13:17">
      <c r="M348" s="33"/>
      <c r="N348" s="34"/>
      <c r="O348" s="34"/>
      <c r="P348" s="33"/>
      <c r="Q348" s="33"/>
    </row>
    <row r="349" spans="13:17">
      <c r="M349" s="33"/>
      <c r="N349" s="34"/>
      <c r="O349" s="34"/>
      <c r="P349" s="33"/>
      <c r="Q349" s="33"/>
    </row>
    <row r="350" spans="13:17">
      <c r="M350" s="33"/>
      <c r="N350" s="34"/>
      <c r="O350" s="34"/>
      <c r="P350" s="33"/>
      <c r="Q350" s="33"/>
    </row>
    <row r="351" spans="13:17">
      <c r="M351" s="33"/>
      <c r="N351" s="34"/>
      <c r="O351" s="34"/>
      <c r="P351" s="33"/>
      <c r="Q351" s="33"/>
    </row>
    <row r="352" spans="13:17">
      <c r="M352" s="33"/>
      <c r="N352" s="34"/>
      <c r="O352" s="34"/>
      <c r="P352" s="33"/>
      <c r="Q352" s="33"/>
    </row>
    <row r="353" spans="13:17">
      <c r="M353" s="33"/>
      <c r="N353" s="34"/>
      <c r="O353" s="34"/>
      <c r="P353" s="33"/>
      <c r="Q353" s="33"/>
    </row>
    <row r="354" spans="13:17">
      <c r="M354" s="33"/>
      <c r="N354" s="34"/>
      <c r="O354" s="34"/>
      <c r="P354" s="33"/>
      <c r="Q354" s="33"/>
    </row>
    <row r="355" spans="13:17">
      <c r="M355" s="33"/>
      <c r="N355" s="34"/>
      <c r="O355" s="34"/>
      <c r="P355" s="33"/>
      <c r="Q355" s="33"/>
    </row>
    <row r="356" spans="13:17">
      <c r="M356" s="33"/>
      <c r="N356" s="34"/>
      <c r="O356" s="34"/>
      <c r="P356" s="33"/>
      <c r="Q356" s="33"/>
    </row>
    <row r="357" spans="13:17">
      <c r="M357" s="33"/>
      <c r="N357" s="34"/>
      <c r="O357" s="34"/>
      <c r="P357" s="33"/>
      <c r="Q357" s="33"/>
    </row>
    <row r="358" spans="13:17">
      <c r="M358" s="33"/>
      <c r="N358" s="34"/>
      <c r="O358" s="34"/>
      <c r="P358" s="33"/>
      <c r="Q358" s="33"/>
    </row>
    <row r="359" spans="13:17">
      <c r="M359" s="33"/>
      <c r="N359" s="34"/>
      <c r="O359" s="34"/>
      <c r="P359" s="33"/>
      <c r="Q359" s="33"/>
    </row>
    <row r="360" spans="13:17">
      <c r="M360" s="33"/>
      <c r="N360" s="34"/>
      <c r="O360" s="34"/>
      <c r="P360" s="33"/>
      <c r="Q360" s="33"/>
    </row>
    <row r="361" spans="13:17">
      <c r="M361" s="33"/>
      <c r="N361" s="34"/>
      <c r="O361" s="34"/>
      <c r="P361" s="33"/>
      <c r="Q361" s="33"/>
    </row>
    <row r="362" spans="13:17">
      <c r="M362" s="33"/>
      <c r="N362" s="34"/>
      <c r="O362" s="34"/>
      <c r="P362" s="33"/>
      <c r="Q362" s="33"/>
    </row>
    <row r="363" spans="13:17">
      <c r="M363" s="33"/>
      <c r="N363" s="34"/>
      <c r="O363" s="34"/>
      <c r="P363" s="33"/>
      <c r="Q363" s="33"/>
    </row>
    <row r="364" spans="13:17">
      <c r="M364" s="33"/>
      <c r="N364" s="34"/>
      <c r="O364" s="34"/>
      <c r="P364" s="33"/>
      <c r="Q364" s="33"/>
    </row>
    <row r="365" spans="13:17">
      <c r="M365" s="33"/>
      <c r="N365" s="34"/>
      <c r="O365" s="34"/>
      <c r="P365" s="33"/>
      <c r="Q365" s="33"/>
    </row>
    <row r="366" spans="13:17">
      <c r="M366" s="33"/>
      <c r="N366" s="34"/>
      <c r="O366" s="34"/>
      <c r="P366" s="33"/>
      <c r="Q366" s="33"/>
    </row>
    <row r="367" spans="13:17">
      <c r="M367" s="33"/>
      <c r="N367" s="34"/>
      <c r="O367" s="34"/>
      <c r="P367" s="33"/>
      <c r="Q367" s="33"/>
    </row>
    <row r="368" spans="13:17">
      <c r="M368" s="33"/>
      <c r="N368" s="34"/>
      <c r="O368" s="34"/>
      <c r="P368" s="33"/>
      <c r="Q368" s="33"/>
    </row>
    <row r="369" spans="13:14">
      <c r="M369" s="33"/>
      <c r="N369" s="26"/>
    </row>
    <row r="370" spans="13:14">
      <c r="M370" s="33"/>
      <c r="N370" s="26"/>
    </row>
  </sheetData>
  <sortState xmlns:xlrd2="http://schemas.microsoft.com/office/spreadsheetml/2017/richdata2" ref="D6:Q434">
    <sortCondition ref="D6"/>
  </sortState>
  <conditionalFormatting sqref="C1:C5 E6:I228 C6:D1048576">
    <cfRule type="cellIs" dxfId="2" priority="4" operator="equal">
      <formula>"x"</formula>
    </cfRule>
  </conditionalFormatting>
  <conditionalFormatting sqref="J2 J6:K228">
    <cfRule type="cellIs" dxfId="1" priority="3" operator="equal">
      <formula>"yy"</formula>
    </cfRule>
  </conditionalFormatting>
  <conditionalFormatting sqref="J5">
    <cfRule type="cellIs" dxfId="0" priority="2" operator="equal">
      <formula>"yy"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6"/>
  <sheetViews>
    <sheetView topLeftCell="B2" workbookViewId="0">
      <selection activeCell="B6" sqref="B6"/>
    </sheetView>
  </sheetViews>
  <sheetFormatPr defaultRowHeight="15"/>
  <cols>
    <col min="1" max="1" width="5.140625" style="1" hidden="1" customWidth="1"/>
    <col min="2" max="2" width="23.42578125" style="1" customWidth="1"/>
    <col min="3" max="3" width="12.28515625" style="1" customWidth="1"/>
    <col min="4" max="4" width="14.28515625" style="1" customWidth="1"/>
    <col min="5" max="5" width="14.140625" style="1" customWidth="1"/>
    <col min="6" max="6" width="49.42578125" style="1" customWidth="1"/>
    <col min="7" max="7" width="20" style="1" customWidth="1"/>
    <col min="8" max="8" width="37.42578125" style="1" customWidth="1"/>
    <col min="9" max="9" width="7.85546875" style="1" bestFit="1" customWidth="1"/>
    <col min="10" max="10" width="7.7109375" style="1" customWidth="1"/>
    <col min="11" max="11" width="9" style="1" customWidth="1"/>
  </cols>
  <sheetData>
    <row r="1" spans="1:11" ht="15" hidden="1" customHeight="1"/>
    <row r="2" spans="1:11" s="4" customFormat="1" ht="39.75" customHeight="1">
      <c r="A2" s="2" t="s">
        <v>625</v>
      </c>
      <c r="B2" s="3" t="s">
        <v>79</v>
      </c>
      <c r="C2" s="3" t="s">
        <v>626</v>
      </c>
      <c r="D2" s="3" t="s">
        <v>627</v>
      </c>
      <c r="E2" s="3" t="s">
        <v>628</v>
      </c>
      <c r="F2" s="3" t="s">
        <v>629</v>
      </c>
      <c r="G2" s="3" t="s">
        <v>630</v>
      </c>
      <c r="H2" s="3" t="s">
        <v>631</v>
      </c>
      <c r="I2" s="3" t="s">
        <v>2</v>
      </c>
      <c r="J2" s="3" t="s">
        <v>632</v>
      </c>
      <c r="K2" s="3" t="s">
        <v>83</v>
      </c>
    </row>
    <row r="3" spans="1:11" ht="30">
      <c r="A3" s="1">
        <v>1</v>
      </c>
      <c r="B3" s="5" t="s">
        <v>633</v>
      </c>
      <c r="C3" s="5" t="s">
        <v>159</v>
      </c>
      <c r="D3" s="5" t="s">
        <v>107</v>
      </c>
      <c r="E3" s="6">
        <v>1064601740019</v>
      </c>
      <c r="F3" s="7" t="s">
        <v>634</v>
      </c>
      <c r="G3" s="5" t="s">
        <v>635</v>
      </c>
      <c r="H3" s="8" t="s">
        <v>636</v>
      </c>
      <c r="I3" s="5">
        <v>268077</v>
      </c>
      <c r="J3" s="5" t="s">
        <v>637</v>
      </c>
      <c r="K3" s="5" t="s">
        <v>638</v>
      </c>
    </row>
    <row r="4" spans="1:11" ht="30">
      <c r="B4" s="5" t="s">
        <v>633</v>
      </c>
      <c r="C4" s="5" t="s">
        <v>159</v>
      </c>
      <c r="D4" s="5" t="s">
        <v>107</v>
      </c>
      <c r="E4" s="6">
        <v>1562600340012</v>
      </c>
      <c r="F4" s="7" t="s">
        <v>634</v>
      </c>
      <c r="G4" s="5" t="s">
        <v>635</v>
      </c>
      <c r="H4" s="8" t="s">
        <v>636</v>
      </c>
      <c r="I4" s="5">
        <v>268077</v>
      </c>
      <c r="J4" s="5" t="s">
        <v>637</v>
      </c>
      <c r="K4" s="5" t="s">
        <v>638</v>
      </c>
    </row>
    <row r="5" spans="1:11" ht="30">
      <c r="B5" s="5" t="s">
        <v>633</v>
      </c>
      <c r="C5" s="5" t="s">
        <v>159</v>
      </c>
      <c r="D5" s="5" t="s">
        <v>107</v>
      </c>
      <c r="E5" s="6">
        <v>1705600660037</v>
      </c>
      <c r="F5" s="7" t="s">
        <v>634</v>
      </c>
      <c r="G5" s="5" t="s">
        <v>635</v>
      </c>
      <c r="H5" s="8" t="s">
        <v>636</v>
      </c>
      <c r="I5" s="5">
        <v>268077</v>
      </c>
      <c r="J5" s="5" t="s">
        <v>637</v>
      </c>
      <c r="K5" s="5" t="s">
        <v>638</v>
      </c>
    </row>
    <row r="6" spans="1:11" ht="45">
      <c r="A6" s="1">
        <v>2</v>
      </c>
      <c r="B6" s="5" t="s">
        <v>639</v>
      </c>
      <c r="C6" s="5" t="s">
        <v>640</v>
      </c>
      <c r="D6" s="5" t="s">
        <v>641</v>
      </c>
      <c r="E6" s="6">
        <v>1161800430046</v>
      </c>
      <c r="F6" s="9" t="s">
        <v>642</v>
      </c>
      <c r="G6" s="5" t="s">
        <v>635</v>
      </c>
      <c r="H6" s="10" t="s">
        <v>643</v>
      </c>
      <c r="I6" s="5">
        <v>268108</v>
      </c>
      <c r="J6" s="5" t="s">
        <v>644</v>
      </c>
      <c r="K6" s="5" t="s">
        <v>645</v>
      </c>
    </row>
    <row r="7" spans="1:11" ht="45">
      <c r="A7" s="1">
        <v>3</v>
      </c>
      <c r="B7" s="5" t="s">
        <v>639</v>
      </c>
      <c r="C7" s="5" t="s">
        <v>646</v>
      </c>
      <c r="D7" s="5" t="s">
        <v>641</v>
      </c>
      <c r="E7" s="6">
        <v>1161800430038</v>
      </c>
      <c r="F7" s="9" t="s">
        <v>642</v>
      </c>
      <c r="G7" s="5" t="s">
        <v>635</v>
      </c>
      <c r="H7" s="10" t="s">
        <v>643</v>
      </c>
      <c r="I7" s="5">
        <v>268109</v>
      </c>
      <c r="J7" s="5" t="s">
        <v>644</v>
      </c>
      <c r="K7" s="5" t="s">
        <v>645</v>
      </c>
    </row>
    <row r="8" spans="1:11" ht="45">
      <c r="B8" s="5" t="s">
        <v>647</v>
      </c>
      <c r="C8" s="5" t="s">
        <v>648</v>
      </c>
      <c r="D8" s="5" t="s">
        <v>649</v>
      </c>
      <c r="E8" s="6">
        <v>1004704100019</v>
      </c>
      <c r="F8" s="11" t="s">
        <v>650</v>
      </c>
      <c r="G8" s="5" t="s">
        <v>635</v>
      </c>
      <c r="H8" s="10" t="s">
        <v>643</v>
      </c>
      <c r="I8" s="5">
        <v>305257</v>
      </c>
      <c r="J8" s="5" t="s">
        <v>651</v>
      </c>
      <c r="K8" s="5" t="s">
        <v>652</v>
      </c>
    </row>
    <row r="9" spans="1:11" ht="45">
      <c r="A9" s="1">
        <v>6</v>
      </c>
      <c r="B9" s="5" t="s">
        <v>647</v>
      </c>
      <c r="C9" s="5" t="s">
        <v>653</v>
      </c>
      <c r="D9" s="5" t="s">
        <v>649</v>
      </c>
      <c r="E9" s="6">
        <v>1221400740053</v>
      </c>
      <c r="F9" s="11" t="s">
        <v>654</v>
      </c>
      <c r="G9" s="5" t="s">
        <v>635</v>
      </c>
      <c r="H9" s="10" t="s">
        <v>643</v>
      </c>
      <c r="I9" s="5">
        <v>432915</v>
      </c>
      <c r="J9" s="5" t="s">
        <v>651</v>
      </c>
      <c r="K9" s="5" t="s">
        <v>652</v>
      </c>
    </row>
    <row r="10" spans="1:11" ht="45">
      <c r="A10" s="1">
        <v>5</v>
      </c>
      <c r="B10" s="5" t="s">
        <v>647</v>
      </c>
      <c r="C10" s="5" t="s">
        <v>648</v>
      </c>
      <c r="D10" s="5" t="s">
        <v>649</v>
      </c>
      <c r="E10" s="6">
        <v>1986000070041</v>
      </c>
      <c r="F10" s="7" t="s">
        <v>655</v>
      </c>
      <c r="G10" s="5" t="s">
        <v>635</v>
      </c>
      <c r="H10" s="10" t="s">
        <v>643</v>
      </c>
      <c r="I10" s="5">
        <v>305257</v>
      </c>
      <c r="J10" s="5" t="s">
        <v>651</v>
      </c>
      <c r="K10" s="5" t="s">
        <v>652</v>
      </c>
    </row>
    <row r="11" spans="1:11" ht="45">
      <c r="A11" s="1">
        <v>4</v>
      </c>
      <c r="B11" s="5" t="s">
        <v>647</v>
      </c>
      <c r="C11" s="5" t="s">
        <v>656</v>
      </c>
      <c r="D11" s="5" t="s">
        <v>137</v>
      </c>
      <c r="E11" s="6">
        <v>1986000070076</v>
      </c>
      <c r="F11" s="11" t="s">
        <v>657</v>
      </c>
      <c r="G11" s="5" t="s">
        <v>635</v>
      </c>
      <c r="H11" s="10" t="s">
        <v>643</v>
      </c>
      <c r="I11" s="5">
        <v>305260</v>
      </c>
      <c r="J11" s="5" t="s">
        <v>651</v>
      </c>
      <c r="K11" s="5" t="s">
        <v>652</v>
      </c>
    </row>
    <row r="12" spans="1:11">
      <c r="A12" s="1">
        <v>7</v>
      </c>
      <c r="B12" s="5" t="s">
        <v>136</v>
      </c>
      <c r="C12" s="5" t="s">
        <v>112</v>
      </c>
      <c r="D12" s="5" t="s">
        <v>137</v>
      </c>
      <c r="E12" s="6">
        <v>1006800090025</v>
      </c>
      <c r="F12" s="11" t="s">
        <v>658</v>
      </c>
      <c r="G12" s="5" t="s">
        <v>635</v>
      </c>
      <c r="H12" s="5" t="s">
        <v>659</v>
      </c>
      <c r="I12" s="5">
        <v>305725</v>
      </c>
      <c r="J12" s="5" t="s">
        <v>660</v>
      </c>
      <c r="K12" s="5" t="s">
        <v>138</v>
      </c>
    </row>
    <row r="13" spans="1:11">
      <c r="A13" s="1">
        <v>8</v>
      </c>
      <c r="B13" s="5" t="s">
        <v>136</v>
      </c>
      <c r="C13" s="5" t="s">
        <v>283</v>
      </c>
      <c r="D13" s="5" t="s">
        <v>94</v>
      </c>
      <c r="E13" s="6">
        <v>1006800090122</v>
      </c>
      <c r="F13" s="12" t="s">
        <v>661</v>
      </c>
      <c r="G13" s="5" t="s">
        <v>635</v>
      </c>
      <c r="H13" s="5" t="s">
        <v>659</v>
      </c>
      <c r="I13" s="5">
        <v>342979</v>
      </c>
      <c r="J13" s="5" t="s">
        <v>660</v>
      </c>
      <c r="K13" s="5" t="s">
        <v>138</v>
      </c>
    </row>
    <row r="14" spans="1:11">
      <c r="B14" s="5" t="s">
        <v>136</v>
      </c>
      <c r="C14" s="5" t="s">
        <v>112</v>
      </c>
      <c r="D14" s="13" t="s">
        <v>662</v>
      </c>
      <c r="E14" s="6">
        <v>1468200200046</v>
      </c>
      <c r="F14" s="7" t="s">
        <v>663</v>
      </c>
      <c r="G14" s="5" t="s">
        <v>635</v>
      </c>
      <c r="H14" s="5" t="s">
        <v>659</v>
      </c>
      <c r="I14" s="5">
        <v>305725</v>
      </c>
      <c r="J14" s="5" t="s">
        <v>660</v>
      </c>
      <c r="K14" s="5" t="s">
        <v>138</v>
      </c>
    </row>
    <row r="15" spans="1:11">
      <c r="A15" s="1">
        <v>9</v>
      </c>
      <c r="B15" s="5" t="s">
        <v>664</v>
      </c>
      <c r="C15" s="5" t="s">
        <v>432</v>
      </c>
      <c r="D15" s="5" t="s">
        <v>107</v>
      </c>
      <c r="E15" s="6">
        <v>1008400670111</v>
      </c>
      <c r="F15" s="11" t="s">
        <v>665</v>
      </c>
      <c r="G15" s="5" t="s">
        <v>635</v>
      </c>
      <c r="H15" s="5" t="s">
        <v>666</v>
      </c>
      <c r="I15" s="5">
        <v>269460</v>
      </c>
      <c r="J15" s="5" t="s">
        <v>667</v>
      </c>
      <c r="K15" s="5" t="s">
        <v>668</v>
      </c>
    </row>
    <row r="16" spans="1:11">
      <c r="B16" s="5" t="s">
        <v>664</v>
      </c>
      <c r="C16" s="5" t="s">
        <v>432</v>
      </c>
      <c r="D16" s="5" t="s">
        <v>107</v>
      </c>
      <c r="E16" s="6">
        <v>1023513770075</v>
      </c>
      <c r="F16" s="7" t="s">
        <v>669</v>
      </c>
      <c r="G16" s="5" t="s">
        <v>635</v>
      </c>
      <c r="H16" s="5" t="s">
        <v>666</v>
      </c>
      <c r="I16" s="5">
        <v>269460</v>
      </c>
      <c r="J16" s="5" t="s">
        <v>667</v>
      </c>
      <c r="K16" s="5"/>
    </row>
    <row r="17" spans="1:11">
      <c r="B17" s="5" t="s">
        <v>664</v>
      </c>
      <c r="C17" s="5" t="s">
        <v>432</v>
      </c>
      <c r="D17" s="5" t="s">
        <v>107</v>
      </c>
      <c r="E17" s="6">
        <v>1023513770083</v>
      </c>
      <c r="F17" s="11" t="s">
        <v>670</v>
      </c>
      <c r="G17" s="5" t="s">
        <v>635</v>
      </c>
      <c r="H17" s="5" t="s">
        <v>666</v>
      </c>
      <c r="I17" s="5">
        <v>269460</v>
      </c>
      <c r="J17" s="5" t="s">
        <v>667</v>
      </c>
      <c r="K17" s="5"/>
    </row>
    <row r="18" spans="1:11">
      <c r="B18" s="5" t="s">
        <v>664</v>
      </c>
      <c r="C18" s="5" t="s">
        <v>432</v>
      </c>
      <c r="D18" s="5" t="s">
        <v>107</v>
      </c>
      <c r="E18" s="6">
        <v>1023513770091</v>
      </c>
      <c r="F18" s="7" t="s">
        <v>671</v>
      </c>
      <c r="G18" s="5" t="s">
        <v>635</v>
      </c>
      <c r="H18" s="5" t="s">
        <v>666</v>
      </c>
      <c r="I18" s="5">
        <v>269460</v>
      </c>
      <c r="J18" s="5" t="s">
        <v>667</v>
      </c>
      <c r="K18" s="5"/>
    </row>
    <row r="19" spans="1:11">
      <c r="B19" s="5" t="s">
        <v>664</v>
      </c>
      <c r="C19" s="5" t="s">
        <v>432</v>
      </c>
      <c r="D19" s="5" t="s">
        <v>107</v>
      </c>
      <c r="E19" s="6">
        <v>1023513770105</v>
      </c>
      <c r="F19" s="11" t="s">
        <v>672</v>
      </c>
      <c r="G19" s="5" t="s">
        <v>635</v>
      </c>
      <c r="H19" s="5" t="s">
        <v>666</v>
      </c>
      <c r="I19" s="5">
        <v>269460</v>
      </c>
      <c r="J19" s="5" t="s">
        <v>667</v>
      </c>
      <c r="K19" s="5"/>
    </row>
    <row r="20" spans="1:11">
      <c r="B20" s="5" t="s">
        <v>664</v>
      </c>
      <c r="C20" s="5" t="s">
        <v>432</v>
      </c>
      <c r="D20" s="5" t="s">
        <v>107</v>
      </c>
      <c r="E20" s="6">
        <v>1023513770075</v>
      </c>
      <c r="F20" s="7" t="s">
        <v>669</v>
      </c>
      <c r="G20" s="5" t="s">
        <v>635</v>
      </c>
      <c r="H20" s="5" t="s">
        <v>666</v>
      </c>
      <c r="I20" s="5">
        <v>269460</v>
      </c>
      <c r="J20" s="5" t="s">
        <v>667</v>
      </c>
      <c r="K20" s="5"/>
    </row>
    <row r="21" spans="1:11">
      <c r="B21" s="5" t="s">
        <v>664</v>
      </c>
      <c r="C21" s="5" t="s">
        <v>432</v>
      </c>
      <c r="D21" s="5" t="s">
        <v>107</v>
      </c>
      <c r="E21" s="6">
        <v>1023513770083</v>
      </c>
      <c r="F21" s="11" t="s">
        <v>670</v>
      </c>
      <c r="G21" s="5" t="s">
        <v>635</v>
      </c>
      <c r="H21" s="5" t="s">
        <v>666</v>
      </c>
      <c r="I21" s="5">
        <v>269460</v>
      </c>
      <c r="J21" s="5" t="s">
        <v>667</v>
      </c>
      <c r="K21" s="5"/>
    </row>
    <row r="22" spans="1:11">
      <c r="B22" s="5" t="s">
        <v>664</v>
      </c>
      <c r="C22" s="5" t="s">
        <v>432</v>
      </c>
      <c r="D22" s="5" t="s">
        <v>107</v>
      </c>
      <c r="E22" s="6">
        <v>1023513770091</v>
      </c>
      <c r="F22" s="7" t="s">
        <v>671</v>
      </c>
      <c r="G22" s="5" t="s">
        <v>635</v>
      </c>
      <c r="H22" s="5" t="s">
        <v>666</v>
      </c>
      <c r="I22" s="5">
        <v>269460</v>
      </c>
      <c r="J22" s="5" t="s">
        <v>667</v>
      </c>
      <c r="K22" s="5"/>
    </row>
    <row r="23" spans="1:11">
      <c r="B23" s="5" t="s">
        <v>664</v>
      </c>
      <c r="C23" s="5" t="s">
        <v>432</v>
      </c>
      <c r="D23" s="5" t="s">
        <v>107</v>
      </c>
      <c r="E23" s="6">
        <v>1023513770105</v>
      </c>
      <c r="F23" s="11" t="s">
        <v>672</v>
      </c>
      <c r="G23" s="5" t="s">
        <v>635</v>
      </c>
      <c r="H23" s="5" t="s">
        <v>666</v>
      </c>
      <c r="I23" s="5">
        <v>269460</v>
      </c>
      <c r="J23" s="5" t="s">
        <v>667</v>
      </c>
      <c r="K23" s="5"/>
    </row>
    <row r="24" spans="1:11">
      <c r="B24" s="5" t="s">
        <v>664</v>
      </c>
      <c r="C24" s="5" t="s">
        <v>432</v>
      </c>
      <c r="D24" s="5" t="s">
        <v>107</v>
      </c>
      <c r="E24" s="6">
        <v>1097403730048</v>
      </c>
      <c r="F24" s="7" t="s">
        <v>673</v>
      </c>
      <c r="G24" s="5" t="s">
        <v>635</v>
      </c>
      <c r="H24" s="5" t="s">
        <v>666</v>
      </c>
      <c r="I24" s="5">
        <v>269460</v>
      </c>
      <c r="J24" s="5" t="s">
        <v>667</v>
      </c>
      <c r="K24" s="5"/>
    </row>
    <row r="25" spans="1:11">
      <c r="B25" s="5" t="s">
        <v>664</v>
      </c>
      <c r="C25" s="5" t="s">
        <v>432</v>
      </c>
      <c r="D25" s="5" t="s">
        <v>107</v>
      </c>
      <c r="E25" s="6">
        <v>1097403760036</v>
      </c>
      <c r="F25" s="11" t="s">
        <v>674</v>
      </c>
      <c r="G25" s="5" t="s">
        <v>635</v>
      </c>
      <c r="H25" s="5" t="s">
        <v>666</v>
      </c>
      <c r="I25" s="5">
        <v>269460</v>
      </c>
      <c r="J25" s="5" t="s">
        <v>667</v>
      </c>
      <c r="K25" s="5"/>
    </row>
    <row r="26" spans="1:11">
      <c r="B26" s="5" t="s">
        <v>664</v>
      </c>
      <c r="C26" s="5" t="s">
        <v>432</v>
      </c>
      <c r="D26" s="5" t="s">
        <v>107</v>
      </c>
      <c r="E26" s="6">
        <v>1097403730048</v>
      </c>
      <c r="F26" s="7" t="s">
        <v>673</v>
      </c>
      <c r="G26" s="5" t="s">
        <v>635</v>
      </c>
      <c r="H26" s="5" t="s">
        <v>666</v>
      </c>
      <c r="I26" s="5">
        <v>269460</v>
      </c>
      <c r="J26" s="5" t="s">
        <v>667</v>
      </c>
      <c r="K26" s="5"/>
    </row>
    <row r="27" spans="1:11">
      <c r="B27" s="5" t="s">
        <v>664</v>
      </c>
      <c r="C27" s="5" t="s">
        <v>432</v>
      </c>
      <c r="D27" s="5" t="s">
        <v>107</v>
      </c>
      <c r="E27" s="6">
        <v>1235202780059</v>
      </c>
      <c r="F27" s="11" t="s">
        <v>675</v>
      </c>
      <c r="G27" s="5" t="s">
        <v>635</v>
      </c>
      <c r="H27" s="5" t="s">
        <v>666</v>
      </c>
      <c r="I27" s="5">
        <v>269460</v>
      </c>
      <c r="J27" s="5" t="s">
        <v>667</v>
      </c>
      <c r="K27" s="5"/>
    </row>
    <row r="28" spans="1:11">
      <c r="B28" s="5" t="s">
        <v>664</v>
      </c>
      <c r="C28" s="5" t="s">
        <v>432</v>
      </c>
      <c r="D28" s="5" t="s">
        <v>107</v>
      </c>
      <c r="E28" s="6">
        <v>1235202780067</v>
      </c>
      <c r="F28" s="7" t="s">
        <v>676</v>
      </c>
      <c r="G28" s="5" t="s">
        <v>635</v>
      </c>
      <c r="H28" s="5" t="s">
        <v>666</v>
      </c>
      <c r="I28" s="5">
        <v>269460</v>
      </c>
      <c r="J28" s="5" t="s">
        <v>667</v>
      </c>
      <c r="K28" s="5"/>
    </row>
    <row r="29" spans="1:11">
      <c r="B29" s="5" t="s">
        <v>664</v>
      </c>
      <c r="C29" s="5" t="s">
        <v>432</v>
      </c>
      <c r="D29" s="5" t="s">
        <v>107</v>
      </c>
      <c r="E29" s="6">
        <v>1235202780075</v>
      </c>
      <c r="F29" s="11" t="s">
        <v>677</v>
      </c>
      <c r="G29" s="5" t="s">
        <v>635</v>
      </c>
      <c r="H29" s="5" t="s">
        <v>666</v>
      </c>
      <c r="I29" s="5">
        <v>269460</v>
      </c>
      <c r="J29" s="5" t="s">
        <v>667</v>
      </c>
      <c r="K29" s="5"/>
    </row>
    <row r="30" spans="1:11">
      <c r="B30" s="5" t="s">
        <v>664</v>
      </c>
      <c r="C30" s="5" t="s">
        <v>432</v>
      </c>
      <c r="D30" s="5" t="s">
        <v>107</v>
      </c>
      <c r="E30" s="6">
        <v>1235202780083</v>
      </c>
      <c r="F30" s="7" t="s">
        <v>678</v>
      </c>
      <c r="G30" s="5" t="s">
        <v>635</v>
      </c>
      <c r="H30" s="5" t="s">
        <v>666</v>
      </c>
      <c r="I30" s="5">
        <v>269460</v>
      </c>
      <c r="J30" s="5" t="s">
        <v>667</v>
      </c>
      <c r="K30" s="5"/>
    </row>
    <row r="31" spans="1:11">
      <c r="B31" s="5" t="s">
        <v>664</v>
      </c>
      <c r="C31" s="5" t="s">
        <v>432</v>
      </c>
      <c r="D31" s="5" t="s">
        <v>107</v>
      </c>
      <c r="E31" s="6">
        <v>1468200980068</v>
      </c>
      <c r="F31" s="11" t="s">
        <v>676</v>
      </c>
      <c r="G31" s="5" t="s">
        <v>635</v>
      </c>
      <c r="H31" s="5" t="s">
        <v>666</v>
      </c>
      <c r="I31" s="5">
        <v>269460</v>
      </c>
      <c r="J31" s="5" t="s">
        <v>667</v>
      </c>
      <c r="K31" s="5"/>
    </row>
    <row r="32" spans="1:11">
      <c r="A32" s="1">
        <v>10</v>
      </c>
      <c r="B32" s="5" t="s">
        <v>664</v>
      </c>
      <c r="C32" s="5" t="s">
        <v>405</v>
      </c>
      <c r="D32" s="5" t="s">
        <v>107</v>
      </c>
      <c r="E32" s="6">
        <v>1008400670144</v>
      </c>
      <c r="F32" s="11" t="s">
        <v>679</v>
      </c>
      <c r="G32" s="5" t="s">
        <v>635</v>
      </c>
      <c r="H32" s="5" t="s">
        <v>666</v>
      </c>
      <c r="I32" s="5">
        <v>309040</v>
      </c>
      <c r="J32" s="5" t="s">
        <v>667</v>
      </c>
      <c r="K32" s="5" t="s">
        <v>668</v>
      </c>
    </row>
    <row r="33" spans="2:11">
      <c r="B33" s="5" t="s">
        <v>664</v>
      </c>
      <c r="C33" s="5" t="s">
        <v>405</v>
      </c>
      <c r="D33" s="5" t="s">
        <v>107</v>
      </c>
      <c r="E33" s="6">
        <v>1023513770131</v>
      </c>
      <c r="F33" s="7" t="s">
        <v>680</v>
      </c>
      <c r="G33" s="5" t="s">
        <v>635</v>
      </c>
      <c r="H33" s="5" t="s">
        <v>666</v>
      </c>
      <c r="I33" s="5">
        <v>309040</v>
      </c>
      <c r="J33" s="5" t="s">
        <v>667</v>
      </c>
      <c r="K33" s="5"/>
    </row>
    <row r="34" spans="2:11">
      <c r="B34" s="5" t="s">
        <v>664</v>
      </c>
      <c r="C34" s="5" t="s">
        <v>405</v>
      </c>
      <c r="D34" s="5" t="s">
        <v>107</v>
      </c>
      <c r="E34" s="6">
        <v>1023513770148</v>
      </c>
      <c r="F34" s="11" t="s">
        <v>681</v>
      </c>
      <c r="G34" s="5" t="s">
        <v>635</v>
      </c>
      <c r="H34" s="5" t="s">
        <v>666</v>
      </c>
      <c r="I34" s="5">
        <v>309040</v>
      </c>
      <c r="J34" s="5" t="s">
        <v>667</v>
      </c>
      <c r="K34" s="5"/>
    </row>
    <row r="35" spans="2:11">
      <c r="B35" s="5" t="s">
        <v>664</v>
      </c>
      <c r="C35" s="5" t="s">
        <v>405</v>
      </c>
      <c r="D35" s="5" t="s">
        <v>107</v>
      </c>
      <c r="E35" s="6">
        <v>1023513770156</v>
      </c>
      <c r="F35" s="7" t="s">
        <v>682</v>
      </c>
      <c r="G35" s="5" t="s">
        <v>635</v>
      </c>
      <c r="H35" s="5" t="s">
        <v>666</v>
      </c>
      <c r="I35" s="5">
        <v>309040</v>
      </c>
      <c r="J35" s="5" t="s">
        <v>667</v>
      </c>
      <c r="K35" s="5"/>
    </row>
    <row r="36" spans="2:11">
      <c r="B36" s="5" t="s">
        <v>664</v>
      </c>
      <c r="C36" s="5" t="s">
        <v>405</v>
      </c>
      <c r="D36" s="5" t="s">
        <v>107</v>
      </c>
      <c r="E36" s="6">
        <v>1023513770164</v>
      </c>
      <c r="F36" s="11" t="s">
        <v>683</v>
      </c>
      <c r="G36" s="5" t="s">
        <v>635</v>
      </c>
      <c r="H36" s="5" t="s">
        <v>666</v>
      </c>
      <c r="I36" s="5">
        <v>309040</v>
      </c>
      <c r="J36" s="5" t="s">
        <v>667</v>
      </c>
      <c r="K36" s="5"/>
    </row>
    <row r="37" spans="2:11">
      <c r="B37" s="5" t="s">
        <v>664</v>
      </c>
      <c r="C37" s="5" t="s">
        <v>405</v>
      </c>
      <c r="D37" s="5" t="s">
        <v>107</v>
      </c>
      <c r="E37" s="6">
        <v>1023513770131</v>
      </c>
      <c r="F37" s="7" t="s">
        <v>680</v>
      </c>
      <c r="G37" s="5" t="s">
        <v>635</v>
      </c>
      <c r="H37" s="5" t="s">
        <v>666</v>
      </c>
      <c r="I37" s="5">
        <v>309040</v>
      </c>
      <c r="J37" s="5" t="s">
        <v>667</v>
      </c>
      <c r="K37" s="5"/>
    </row>
    <row r="38" spans="2:11">
      <c r="B38" s="5" t="s">
        <v>664</v>
      </c>
      <c r="C38" s="5" t="s">
        <v>405</v>
      </c>
      <c r="D38" s="5" t="s">
        <v>107</v>
      </c>
      <c r="E38" s="6">
        <v>1023513770148</v>
      </c>
      <c r="F38" s="11" t="s">
        <v>681</v>
      </c>
      <c r="G38" s="5" t="s">
        <v>635</v>
      </c>
      <c r="H38" s="5" t="s">
        <v>666</v>
      </c>
      <c r="I38" s="5">
        <v>309040</v>
      </c>
      <c r="J38" s="5" t="s">
        <v>667</v>
      </c>
      <c r="K38" s="5"/>
    </row>
    <row r="39" spans="2:11">
      <c r="B39" s="5" t="s">
        <v>664</v>
      </c>
      <c r="C39" s="5" t="s">
        <v>405</v>
      </c>
      <c r="D39" s="5" t="s">
        <v>107</v>
      </c>
      <c r="E39" s="6">
        <v>1023513770156</v>
      </c>
      <c r="F39" s="7" t="s">
        <v>682</v>
      </c>
      <c r="G39" s="5" t="s">
        <v>635</v>
      </c>
      <c r="H39" s="5" t="s">
        <v>666</v>
      </c>
      <c r="I39" s="5">
        <v>309040</v>
      </c>
      <c r="J39" s="5" t="s">
        <v>667</v>
      </c>
      <c r="K39" s="5"/>
    </row>
    <row r="40" spans="2:11">
      <c r="B40" s="5" t="s">
        <v>664</v>
      </c>
      <c r="C40" s="5" t="s">
        <v>405</v>
      </c>
      <c r="D40" s="5" t="s">
        <v>107</v>
      </c>
      <c r="E40" s="6">
        <v>1023513770164</v>
      </c>
      <c r="F40" s="11" t="s">
        <v>683</v>
      </c>
      <c r="G40" s="5" t="s">
        <v>635</v>
      </c>
      <c r="H40" s="5" t="s">
        <v>666</v>
      </c>
      <c r="I40" s="5">
        <v>309040</v>
      </c>
      <c r="J40" s="5" t="s">
        <v>667</v>
      </c>
      <c r="K40" s="5"/>
    </row>
    <row r="41" spans="2:11">
      <c r="B41" s="5" t="s">
        <v>664</v>
      </c>
      <c r="C41" s="5" t="s">
        <v>405</v>
      </c>
      <c r="D41" s="5" t="s">
        <v>107</v>
      </c>
      <c r="E41" s="6">
        <v>1097403730145</v>
      </c>
      <c r="F41" s="7" t="s">
        <v>684</v>
      </c>
      <c r="G41" s="5" t="s">
        <v>635</v>
      </c>
      <c r="H41" s="5" t="s">
        <v>666</v>
      </c>
      <c r="I41" s="5">
        <v>309040</v>
      </c>
      <c r="J41" s="5" t="s">
        <v>667</v>
      </c>
      <c r="K41" s="5"/>
    </row>
    <row r="42" spans="2:11">
      <c r="B42" s="5" t="s">
        <v>664</v>
      </c>
      <c r="C42" s="5" t="s">
        <v>405</v>
      </c>
      <c r="D42" s="5" t="s">
        <v>107</v>
      </c>
      <c r="E42" s="6">
        <v>1097403760133</v>
      </c>
      <c r="F42" s="11" t="s">
        <v>685</v>
      </c>
      <c r="G42" s="5" t="s">
        <v>635</v>
      </c>
      <c r="H42" s="5" t="s">
        <v>666</v>
      </c>
      <c r="I42" s="5">
        <v>309040</v>
      </c>
      <c r="J42" s="5" t="s">
        <v>667</v>
      </c>
      <c r="K42" s="5"/>
    </row>
    <row r="43" spans="2:11">
      <c r="B43" s="5" t="s">
        <v>664</v>
      </c>
      <c r="C43" s="5" t="s">
        <v>405</v>
      </c>
      <c r="D43" s="5" t="s">
        <v>107</v>
      </c>
      <c r="E43" s="6">
        <v>1097403730145</v>
      </c>
      <c r="F43" s="7" t="s">
        <v>684</v>
      </c>
      <c r="G43" s="5" t="s">
        <v>635</v>
      </c>
      <c r="H43" s="5" t="s">
        <v>666</v>
      </c>
      <c r="I43" s="5">
        <v>309040</v>
      </c>
      <c r="J43" s="5" t="s">
        <v>667</v>
      </c>
      <c r="K43" s="5"/>
    </row>
    <row r="44" spans="2:11">
      <c r="B44" s="5" t="s">
        <v>664</v>
      </c>
      <c r="C44" s="5" t="s">
        <v>405</v>
      </c>
      <c r="D44" s="5" t="s">
        <v>107</v>
      </c>
      <c r="E44" s="6">
        <v>1235202780131</v>
      </c>
      <c r="F44" s="11" t="s">
        <v>686</v>
      </c>
      <c r="G44" s="5" t="s">
        <v>635</v>
      </c>
      <c r="H44" s="5" t="s">
        <v>666</v>
      </c>
      <c r="I44" s="5">
        <v>309040</v>
      </c>
      <c r="J44" s="5" t="s">
        <v>667</v>
      </c>
      <c r="K44" s="5"/>
    </row>
    <row r="45" spans="2:11">
      <c r="B45" s="5" t="s">
        <v>664</v>
      </c>
      <c r="C45" s="5" t="s">
        <v>405</v>
      </c>
      <c r="D45" s="5" t="s">
        <v>107</v>
      </c>
      <c r="E45" s="6">
        <v>1235202780148</v>
      </c>
      <c r="F45" s="7" t="s">
        <v>687</v>
      </c>
      <c r="G45" s="5" t="s">
        <v>635</v>
      </c>
      <c r="H45" s="5" t="s">
        <v>666</v>
      </c>
      <c r="I45" s="5">
        <v>309040</v>
      </c>
      <c r="J45" s="5" t="s">
        <v>667</v>
      </c>
      <c r="K45" s="5"/>
    </row>
    <row r="46" spans="2:11">
      <c r="B46" s="5" t="s">
        <v>664</v>
      </c>
      <c r="C46" s="5" t="s">
        <v>405</v>
      </c>
      <c r="D46" s="5" t="s">
        <v>107</v>
      </c>
      <c r="E46" s="6">
        <v>1235202780156</v>
      </c>
      <c r="F46" s="11" t="s">
        <v>688</v>
      </c>
      <c r="G46" s="5" t="s">
        <v>635</v>
      </c>
      <c r="H46" s="5" t="s">
        <v>666</v>
      </c>
      <c r="I46" s="5">
        <v>309040</v>
      </c>
      <c r="J46" s="5" t="s">
        <v>667</v>
      </c>
      <c r="K46" s="5"/>
    </row>
    <row r="47" spans="2:11">
      <c r="B47" s="5" t="s">
        <v>664</v>
      </c>
      <c r="C47" s="5" t="s">
        <v>405</v>
      </c>
      <c r="D47" s="5" t="s">
        <v>107</v>
      </c>
      <c r="E47" s="6">
        <v>1235202780164</v>
      </c>
      <c r="F47" s="7" t="s">
        <v>689</v>
      </c>
      <c r="G47" s="5" t="s">
        <v>635</v>
      </c>
      <c r="H47" s="5" t="s">
        <v>666</v>
      </c>
      <c r="I47" s="5">
        <v>309040</v>
      </c>
      <c r="J47" s="5" t="s">
        <v>667</v>
      </c>
      <c r="K47" s="5"/>
    </row>
    <row r="48" spans="2:11">
      <c r="B48" s="5" t="s">
        <v>664</v>
      </c>
      <c r="C48" s="5" t="s">
        <v>405</v>
      </c>
      <c r="D48" s="5" t="s">
        <v>107</v>
      </c>
      <c r="E48" s="6">
        <v>1468200980149</v>
      </c>
      <c r="F48" s="11" t="s">
        <v>687</v>
      </c>
      <c r="G48" s="5" t="s">
        <v>635</v>
      </c>
      <c r="H48" s="5" t="s">
        <v>666</v>
      </c>
      <c r="I48" s="5">
        <v>309040</v>
      </c>
      <c r="J48" s="5" t="s">
        <v>667</v>
      </c>
      <c r="K48" s="5"/>
    </row>
    <row r="49" spans="1:11">
      <c r="A49" s="1">
        <v>11</v>
      </c>
      <c r="B49" s="5" t="s">
        <v>664</v>
      </c>
      <c r="C49" s="5" t="s">
        <v>159</v>
      </c>
      <c r="D49" s="5" t="s">
        <v>107</v>
      </c>
      <c r="E49" s="6">
        <v>1008400670081</v>
      </c>
      <c r="F49" s="11" t="s">
        <v>690</v>
      </c>
      <c r="G49" s="5" t="s">
        <v>635</v>
      </c>
      <c r="H49" s="5" t="s">
        <v>666</v>
      </c>
      <c r="I49" s="5">
        <v>277519</v>
      </c>
      <c r="J49" s="5" t="s">
        <v>667</v>
      </c>
      <c r="K49" s="5" t="s">
        <v>668</v>
      </c>
    </row>
    <row r="50" spans="1:11">
      <c r="B50" s="5" t="s">
        <v>664</v>
      </c>
      <c r="C50" s="5" t="s">
        <v>159</v>
      </c>
      <c r="D50" s="5" t="s">
        <v>107</v>
      </c>
      <c r="E50" s="6">
        <v>1023513770016</v>
      </c>
      <c r="F50" s="7" t="s">
        <v>691</v>
      </c>
      <c r="G50" s="5" t="s">
        <v>635</v>
      </c>
      <c r="H50" s="5" t="s">
        <v>666</v>
      </c>
      <c r="I50" s="5">
        <v>277519</v>
      </c>
      <c r="J50" s="5" t="s">
        <v>667</v>
      </c>
      <c r="K50" s="5"/>
    </row>
    <row r="51" spans="1:11">
      <c r="B51" s="5" t="s">
        <v>664</v>
      </c>
      <c r="C51" s="5" t="s">
        <v>159</v>
      </c>
      <c r="D51" s="5" t="s">
        <v>107</v>
      </c>
      <c r="E51" s="6">
        <v>1023513770024</v>
      </c>
      <c r="F51" s="11" t="s">
        <v>692</v>
      </c>
      <c r="G51" s="5" t="s">
        <v>635</v>
      </c>
      <c r="H51" s="5" t="s">
        <v>666</v>
      </c>
      <c r="I51" s="5">
        <v>277519</v>
      </c>
      <c r="J51" s="5" t="s">
        <v>667</v>
      </c>
      <c r="K51" s="5"/>
    </row>
    <row r="52" spans="1:11">
      <c r="B52" s="5" t="s">
        <v>664</v>
      </c>
      <c r="C52" s="5" t="s">
        <v>159</v>
      </c>
      <c r="D52" s="5" t="s">
        <v>107</v>
      </c>
      <c r="E52" s="6">
        <v>1023513770032</v>
      </c>
      <c r="F52" s="7" t="s">
        <v>693</v>
      </c>
      <c r="G52" s="5" t="s">
        <v>635</v>
      </c>
      <c r="H52" s="5" t="s">
        <v>666</v>
      </c>
      <c r="I52" s="5">
        <v>277519</v>
      </c>
      <c r="J52" s="5" t="s">
        <v>667</v>
      </c>
      <c r="K52" s="5"/>
    </row>
    <row r="53" spans="1:11">
      <c r="B53" s="5" t="s">
        <v>664</v>
      </c>
      <c r="C53" s="5" t="s">
        <v>159</v>
      </c>
      <c r="D53" s="5" t="s">
        <v>107</v>
      </c>
      <c r="E53" s="6">
        <v>1023513770040</v>
      </c>
      <c r="F53" s="11" t="s">
        <v>694</v>
      </c>
      <c r="G53" s="5" t="s">
        <v>635</v>
      </c>
      <c r="H53" s="5" t="s">
        <v>666</v>
      </c>
      <c r="I53" s="5">
        <v>277519</v>
      </c>
      <c r="J53" s="5" t="s">
        <v>667</v>
      </c>
      <c r="K53" s="5"/>
    </row>
    <row r="54" spans="1:11">
      <c r="B54" s="5" t="s">
        <v>664</v>
      </c>
      <c r="C54" s="5" t="s">
        <v>159</v>
      </c>
      <c r="D54" s="5" t="s">
        <v>107</v>
      </c>
      <c r="E54" s="6">
        <v>1023513770016</v>
      </c>
      <c r="F54" s="7" t="s">
        <v>691</v>
      </c>
      <c r="G54" s="5" t="s">
        <v>635</v>
      </c>
      <c r="H54" s="5" t="s">
        <v>666</v>
      </c>
      <c r="I54" s="5">
        <v>277519</v>
      </c>
      <c r="J54" s="5" t="s">
        <v>667</v>
      </c>
      <c r="K54" s="5"/>
    </row>
    <row r="55" spans="1:11">
      <c r="B55" s="5" t="s">
        <v>664</v>
      </c>
      <c r="C55" s="5" t="s">
        <v>159</v>
      </c>
      <c r="D55" s="5" t="s">
        <v>107</v>
      </c>
      <c r="E55" s="6">
        <v>1023513770024</v>
      </c>
      <c r="F55" s="11" t="s">
        <v>692</v>
      </c>
      <c r="G55" s="5" t="s">
        <v>635</v>
      </c>
      <c r="H55" s="5" t="s">
        <v>666</v>
      </c>
      <c r="I55" s="5">
        <v>277519</v>
      </c>
      <c r="J55" s="5" t="s">
        <v>667</v>
      </c>
      <c r="K55" s="5"/>
    </row>
    <row r="56" spans="1:11">
      <c r="B56" s="5" t="s">
        <v>664</v>
      </c>
      <c r="C56" s="5" t="s">
        <v>159</v>
      </c>
      <c r="D56" s="5" t="s">
        <v>107</v>
      </c>
      <c r="E56" s="6">
        <v>1023513770032</v>
      </c>
      <c r="F56" s="7" t="s">
        <v>693</v>
      </c>
      <c r="G56" s="5" t="s">
        <v>635</v>
      </c>
      <c r="H56" s="5" t="s">
        <v>666</v>
      </c>
      <c r="I56" s="5">
        <v>277519</v>
      </c>
      <c r="J56" s="5" t="s">
        <v>667</v>
      </c>
      <c r="K56" s="5"/>
    </row>
    <row r="57" spans="1:11">
      <c r="B57" s="5" t="s">
        <v>664</v>
      </c>
      <c r="C57" s="5" t="s">
        <v>159</v>
      </c>
      <c r="D57" s="5" t="s">
        <v>107</v>
      </c>
      <c r="E57" s="6">
        <v>1023513770040</v>
      </c>
      <c r="F57" s="11" t="s">
        <v>694</v>
      </c>
      <c r="G57" s="5" t="s">
        <v>635</v>
      </c>
      <c r="H57" s="5" t="s">
        <v>666</v>
      </c>
      <c r="I57" s="5">
        <v>277519</v>
      </c>
      <c r="J57" s="5" t="s">
        <v>667</v>
      </c>
      <c r="K57" s="5"/>
    </row>
    <row r="58" spans="1:11" ht="30">
      <c r="A58" s="1">
        <v>12</v>
      </c>
      <c r="B58" s="5" t="s">
        <v>695</v>
      </c>
      <c r="C58" s="5" t="s">
        <v>283</v>
      </c>
      <c r="D58" s="5" t="s">
        <v>246</v>
      </c>
      <c r="E58" s="6">
        <v>1101302710019</v>
      </c>
      <c r="F58" s="11" t="s">
        <v>696</v>
      </c>
      <c r="G58" s="5" t="s">
        <v>635</v>
      </c>
      <c r="H58" s="10" t="s">
        <v>697</v>
      </c>
      <c r="I58" s="5">
        <v>308719</v>
      </c>
      <c r="J58" s="5" t="s">
        <v>667</v>
      </c>
      <c r="K58" s="5" t="s">
        <v>698</v>
      </c>
    </row>
    <row r="59" spans="1:11" ht="30">
      <c r="B59" s="5" t="s">
        <v>695</v>
      </c>
      <c r="C59" s="5" t="s">
        <v>283</v>
      </c>
      <c r="D59" s="5" t="s">
        <v>246</v>
      </c>
      <c r="E59" s="6">
        <v>1101302880021</v>
      </c>
      <c r="F59" s="7" t="s">
        <v>699</v>
      </c>
      <c r="G59" s="5" t="s">
        <v>635</v>
      </c>
      <c r="H59" s="10" t="s">
        <v>697</v>
      </c>
      <c r="I59" s="5">
        <v>308719</v>
      </c>
      <c r="J59" s="5" t="s">
        <v>667</v>
      </c>
      <c r="K59" s="5"/>
    </row>
    <row r="60" spans="1:11" ht="30">
      <c r="B60" s="5" t="s">
        <v>695</v>
      </c>
      <c r="C60" s="5" t="s">
        <v>283</v>
      </c>
      <c r="D60" s="5" t="s">
        <v>246</v>
      </c>
      <c r="E60" s="6">
        <v>1557300460016</v>
      </c>
      <c r="F60" s="11" t="s">
        <v>696</v>
      </c>
      <c r="G60" s="5" t="s">
        <v>635</v>
      </c>
      <c r="H60" s="10" t="s">
        <v>697</v>
      </c>
      <c r="I60" s="5">
        <v>308719</v>
      </c>
      <c r="J60" s="5" t="s">
        <v>667</v>
      </c>
      <c r="K60" s="5"/>
    </row>
    <row r="61" spans="1:11" ht="30">
      <c r="B61" s="5" t="s">
        <v>695</v>
      </c>
      <c r="C61" s="5" t="s">
        <v>283</v>
      </c>
      <c r="D61" s="5" t="s">
        <v>246</v>
      </c>
      <c r="E61" s="6">
        <v>1557300460024</v>
      </c>
      <c r="F61" s="7" t="s">
        <v>700</v>
      </c>
      <c r="G61" s="5" t="s">
        <v>635</v>
      </c>
      <c r="H61" s="10" t="s">
        <v>697</v>
      </c>
      <c r="I61" s="5">
        <v>308719</v>
      </c>
      <c r="J61" s="5" t="s">
        <v>667</v>
      </c>
      <c r="K61" s="5"/>
    </row>
    <row r="62" spans="1:11" ht="30">
      <c r="A62" s="1">
        <v>13</v>
      </c>
      <c r="B62" s="5" t="s">
        <v>695</v>
      </c>
      <c r="C62" s="5" t="s">
        <v>279</v>
      </c>
      <c r="D62" s="5" t="s">
        <v>246</v>
      </c>
      <c r="E62" s="6">
        <v>1101302880046</v>
      </c>
      <c r="F62" s="11" t="s">
        <v>701</v>
      </c>
      <c r="G62" s="5" t="s">
        <v>635</v>
      </c>
      <c r="H62" s="10" t="s">
        <v>697</v>
      </c>
      <c r="I62" s="5">
        <v>308718</v>
      </c>
      <c r="J62" s="5" t="s">
        <v>667</v>
      </c>
      <c r="K62" s="5" t="s">
        <v>698</v>
      </c>
    </row>
    <row r="63" spans="1:11" ht="30">
      <c r="B63" s="5" t="s">
        <v>695</v>
      </c>
      <c r="C63" s="5" t="s">
        <v>279</v>
      </c>
      <c r="D63" s="5" t="s">
        <v>246</v>
      </c>
      <c r="E63" s="6">
        <v>1557300460032</v>
      </c>
      <c r="F63" s="7" t="s">
        <v>702</v>
      </c>
      <c r="G63" s="5" t="s">
        <v>635</v>
      </c>
      <c r="H63" s="10" t="s">
        <v>697</v>
      </c>
      <c r="I63" s="5">
        <v>308718</v>
      </c>
      <c r="J63" s="5" t="s">
        <v>667</v>
      </c>
      <c r="K63" s="5"/>
    </row>
    <row r="64" spans="1:11" ht="30">
      <c r="B64" s="5" t="s">
        <v>695</v>
      </c>
      <c r="C64" s="5" t="s">
        <v>279</v>
      </c>
      <c r="D64" s="5" t="s">
        <v>246</v>
      </c>
      <c r="E64" s="6">
        <v>1557300460040</v>
      </c>
      <c r="F64" s="11" t="s">
        <v>703</v>
      </c>
      <c r="G64" s="5" t="s">
        <v>635</v>
      </c>
      <c r="H64" s="10" t="s">
        <v>697</v>
      </c>
      <c r="I64" s="5">
        <v>308718</v>
      </c>
      <c r="J64" s="5" t="s">
        <v>667</v>
      </c>
      <c r="K64" s="5"/>
    </row>
    <row r="65" spans="1:11">
      <c r="A65" s="1">
        <v>14</v>
      </c>
      <c r="B65" s="5" t="s">
        <v>704</v>
      </c>
      <c r="C65" s="5" t="s">
        <v>705</v>
      </c>
      <c r="D65" s="5" t="s">
        <v>160</v>
      </c>
      <c r="E65" s="6">
        <v>1057305280014</v>
      </c>
      <c r="F65" s="11" t="s">
        <v>706</v>
      </c>
      <c r="G65" s="5" t="s">
        <v>635</v>
      </c>
      <c r="H65" s="5" t="s">
        <v>707</v>
      </c>
      <c r="I65" s="5">
        <v>430857</v>
      </c>
      <c r="J65" s="5" t="s">
        <v>708</v>
      </c>
      <c r="K65" s="5" t="s">
        <v>709</v>
      </c>
    </row>
    <row r="66" spans="1:11">
      <c r="B66" s="5" t="s">
        <v>704</v>
      </c>
      <c r="C66" s="5" t="s">
        <v>705</v>
      </c>
      <c r="D66" s="5" t="s">
        <v>160</v>
      </c>
      <c r="E66" s="6">
        <v>1106301110061</v>
      </c>
      <c r="F66" s="7" t="s">
        <v>710</v>
      </c>
      <c r="G66" s="5" t="s">
        <v>635</v>
      </c>
      <c r="H66" s="5" t="s">
        <v>707</v>
      </c>
      <c r="I66" s="5">
        <v>430857</v>
      </c>
      <c r="J66" s="5" t="s">
        <v>708</v>
      </c>
      <c r="K66" s="5"/>
    </row>
    <row r="67" spans="1:11">
      <c r="A67" s="1">
        <v>15</v>
      </c>
      <c r="B67" s="5" t="s">
        <v>704</v>
      </c>
      <c r="C67" s="5" t="s">
        <v>711</v>
      </c>
      <c r="D67" s="5" t="s">
        <v>160</v>
      </c>
      <c r="E67" s="6">
        <v>1057305280030</v>
      </c>
      <c r="F67" s="11" t="s">
        <v>712</v>
      </c>
      <c r="G67" s="5" t="s">
        <v>635</v>
      </c>
      <c r="H67" s="5" t="s">
        <v>707</v>
      </c>
      <c r="I67" s="5">
        <v>430858</v>
      </c>
      <c r="J67" s="5" t="s">
        <v>708</v>
      </c>
      <c r="K67" s="5" t="s">
        <v>709</v>
      </c>
    </row>
    <row r="68" spans="1:11">
      <c r="B68" s="5" t="s">
        <v>704</v>
      </c>
      <c r="C68" s="5" t="s">
        <v>711</v>
      </c>
      <c r="D68" s="5" t="s">
        <v>160</v>
      </c>
      <c r="E68" s="6">
        <v>1106301110043</v>
      </c>
      <c r="F68" s="7" t="s">
        <v>713</v>
      </c>
      <c r="G68" s="5" t="s">
        <v>635</v>
      </c>
      <c r="H68" s="5" t="s">
        <v>707</v>
      </c>
      <c r="I68" s="5">
        <v>430858</v>
      </c>
      <c r="J68" s="5" t="s">
        <v>708</v>
      </c>
      <c r="K68" s="5"/>
    </row>
    <row r="69" spans="1:11">
      <c r="A69" s="1">
        <v>16</v>
      </c>
      <c r="B69" s="5" t="s">
        <v>704</v>
      </c>
      <c r="C69" s="5" t="s">
        <v>714</v>
      </c>
      <c r="D69" s="5" t="s">
        <v>160</v>
      </c>
      <c r="E69" s="6">
        <v>1057305280022</v>
      </c>
      <c r="F69" s="11" t="s">
        <v>715</v>
      </c>
      <c r="G69" s="5" t="s">
        <v>635</v>
      </c>
      <c r="H69" s="5" t="s">
        <v>707</v>
      </c>
      <c r="I69" s="5">
        <v>430856</v>
      </c>
      <c r="J69" s="5" t="s">
        <v>708</v>
      </c>
      <c r="K69" s="5" t="s">
        <v>709</v>
      </c>
    </row>
    <row r="70" spans="1:11">
      <c r="B70" s="5" t="s">
        <v>704</v>
      </c>
      <c r="C70" s="5" t="s">
        <v>714</v>
      </c>
      <c r="D70" s="5" t="s">
        <v>160</v>
      </c>
      <c r="E70" s="6">
        <v>1106301110051</v>
      </c>
      <c r="F70" s="7" t="s">
        <v>716</v>
      </c>
      <c r="G70" s="5" t="s">
        <v>635</v>
      </c>
      <c r="H70" s="5" t="s">
        <v>707</v>
      </c>
      <c r="I70" s="5">
        <v>430856</v>
      </c>
      <c r="J70" s="5" t="s">
        <v>708</v>
      </c>
      <c r="K70" s="5"/>
    </row>
    <row r="71" spans="1:11">
      <c r="A71" s="1">
        <v>17</v>
      </c>
      <c r="B71" s="5" t="s">
        <v>717</v>
      </c>
      <c r="C71" s="5" t="s">
        <v>283</v>
      </c>
      <c r="D71" s="5" t="s">
        <v>107</v>
      </c>
      <c r="E71" s="6">
        <v>1010702810021</v>
      </c>
      <c r="F71" s="7" t="s">
        <v>718</v>
      </c>
      <c r="G71" s="5" t="s">
        <v>635</v>
      </c>
      <c r="H71" s="14" t="s">
        <v>719</v>
      </c>
      <c r="I71" s="5">
        <v>404656</v>
      </c>
      <c r="J71" s="5" t="s">
        <v>720</v>
      </c>
      <c r="K71" s="5" t="s">
        <v>721</v>
      </c>
    </row>
    <row r="72" spans="1:11">
      <c r="A72" s="1">
        <v>18</v>
      </c>
      <c r="B72" s="5" t="s">
        <v>717</v>
      </c>
      <c r="C72" s="5" t="s">
        <v>177</v>
      </c>
      <c r="D72" s="5" t="s">
        <v>107</v>
      </c>
      <c r="E72" s="6">
        <v>1010702810013</v>
      </c>
      <c r="F72" s="11" t="s">
        <v>722</v>
      </c>
      <c r="G72" s="5" t="s">
        <v>635</v>
      </c>
      <c r="H72" s="14" t="s">
        <v>719</v>
      </c>
      <c r="I72" s="5">
        <v>404655</v>
      </c>
      <c r="J72" s="5" t="s">
        <v>720</v>
      </c>
      <c r="K72" s="5" t="s">
        <v>721</v>
      </c>
    </row>
    <row r="73" spans="1:11">
      <c r="A73" s="1">
        <v>19</v>
      </c>
      <c r="B73" s="5" t="s">
        <v>723</v>
      </c>
      <c r="C73" s="5" t="s">
        <v>334</v>
      </c>
      <c r="D73" s="5" t="s">
        <v>107</v>
      </c>
      <c r="E73" s="6">
        <v>1049202310157</v>
      </c>
      <c r="F73" s="11" t="s">
        <v>724</v>
      </c>
      <c r="G73" s="5" t="s">
        <v>635</v>
      </c>
      <c r="H73" s="14" t="s">
        <v>719</v>
      </c>
      <c r="I73" s="5">
        <v>280115</v>
      </c>
      <c r="J73" s="5" t="s">
        <v>720</v>
      </c>
      <c r="K73" s="5" t="s">
        <v>725</v>
      </c>
    </row>
    <row r="74" spans="1:11">
      <c r="B74" s="5" t="s">
        <v>723</v>
      </c>
      <c r="C74" s="5" t="s">
        <v>334</v>
      </c>
      <c r="D74" s="5" t="s">
        <v>107</v>
      </c>
      <c r="E74" s="6">
        <v>1049202310157</v>
      </c>
      <c r="F74" s="7" t="s">
        <v>724</v>
      </c>
      <c r="G74" s="5" t="s">
        <v>635</v>
      </c>
      <c r="H74" s="14" t="s">
        <v>719</v>
      </c>
      <c r="I74" s="5">
        <v>280115</v>
      </c>
      <c r="J74" s="5" t="s">
        <v>720</v>
      </c>
      <c r="K74" s="5"/>
    </row>
    <row r="75" spans="1:11">
      <c r="B75" s="5" t="s">
        <v>723</v>
      </c>
      <c r="C75" s="5" t="s">
        <v>334</v>
      </c>
      <c r="D75" s="5" t="s">
        <v>107</v>
      </c>
      <c r="E75" s="6">
        <v>1097403140021</v>
      </c>
      <c r="F75" s="11" t="s">
        <v>724</v>
      </c>
      <c r="G75" s="5" t="s">
        <v>635</v>
      </c>
      <c r="H75" s="14" t="s">
        <v>719</v>
      </c>
      <c r="I75" s="5">
        <v>280115</v>
      </c>
      <c r="J75" s="5" t="s">
        <v>720</v>
      </c>
      <c r="K75" s="5"/>
    </row>
    <row r="76" spans="1:11">
      <c r="A76" s="1">
        <v>20</v>
      </c>
      <c r="B76" s="5" t="s">
        <v>723</v>
      </c>
      <c r="C76" s="5" t="s">
        <v>726</v>
      </c>
      <c r="D76" s="5" t="s">
        <v>107</v>
      </c>
      <c r="E76" s="6">
        <v>1049202370011</v>
      </c>
      <c r="F76" s="11" t="s">
        <v>727</v>
      </c>
      <c r="G76" s="5" t="s">
        <v>635</v>
      </c>
      <c r="H76" s="14" t="s">
        <v>719</v>
      </c>
      <c r="I76" s="5">
        <v>280116</v>
      </c>
      <c r="J76" s="5" t="s">
        <v>720</v>
      </c>
      <c r="K76" s="5" t="s">
        <v>725</v>
      </c>
    </row>
    <row r="77" spans="1:11" ht="45">
      <c r="A77" s="1">
        <v>21</v>
      </c>
      <c r="B77" s="5" t="s">
        <v>728</v>
      </c>
      <c r="C77" s="5" t="s">
        <v>729</v>
      </c>
      <c r="D77" s="5" t="s">
        <v>171</v>
      </c>
      <c r="E77" s="6">
        <v>1036701770011</v>
      </c>
      <c r="F77" s="11" t="s">
        <v>730</v>
      </c>
      <c r="G77" s="5" t="s">
        <v>635</v>
      </c>
      <c r="H77" s="10" t="s">
        <v>731</v>
      </c>
      <c r="I77" s="5">
        <v>466366</v>
      </c>
      <c r="J77" s="5" t="s">
        <v>732</v>
      </c>
      <c r="K77" s="5" t="s">
        <v>733</v>
      </c>
    </row>
    <row r="78" spans="1:11" ht="45">
      <c r="A78" s="1">
        <v>22</v>
      </c>
      <c r="B78" s="5" t="s">
        <v>734</v>
      </c>
      <c r="C78" s="5" t="s">
        <v>735</v>
      </c>
      <c r="D78" s="5" t="s">
        <v>736</v>
      </c>
      <c r="E78" s="6">
        <v>1010703180013</v>
      </c>
      <c r="F78" s="11" t="s">
        <v>737</v>
      </c>
      <c r="G78" s="5" t="s">
        <v>635</v>
      </c>
      <c r="H78" s="10" t="s">
        <v>731</v>
      </c>
      <c r="I78" s="5">
        <v>437993</v>
      </c>
      <c r="J78" s="5" t="s">
        <v>738</v>
      </c>
      <c r="K78" s="5" t="s">
        <v>739</v>
      </c>
    </row>
    <row r="79" spans="1:11" ht="45">
      <c r="B79" s="5" t="s">
        <v>734</v>
      </c>
      <c r="C79" s="5" t="s">
        <v>735</v>
      </c>
      <c r="D79" s="5" t="s">
        <v>736</v>
      </c>
      <c r="E79" s="6">
        <v>1010703180021</v>
      </c>
      <c r="F79" s="7" t="s">
        <v>740</v>
      </c>
      <c r="G79" s="5" t="s">
        <v>635</v>
      </c>
      <c r="H79" s="10" t="s">
        <v>731</v>
      </c>
      <c r="I79" s="5"/>
      <c r="J79" s="5"/>
      <c r="K79" s="5"/>
    </row>
    <row r="80" spans="1:11">
      <c r="A80" s="1">
        <v>23</v>
      </c>
      <c r="B80" s="5" t="s">
        <v>741</v>
      </c>
      <c r="C80" s="5" t="s">
        <v>319</v>
      </c>
      <c r="D80" s="5" t="s">
        <v>107</v>
      </c>
      <c r="E80" s="6">
        <v>1004314100014</v>
      </c>
      <c r="F80" s="11" t="s">
        <v>742</v>
      </c>
      <c r="G80" s="5" t="s">
        <v>635</v>
      </c>
      <c r="H80" s="14" t="s">
        <v>743</v>
      </c>
      <c r="I80" s="5">
        <v>268079</v>
      </c>
      <c r="J80" s="5" t="s">
        <v>738</v>
      </c>
      <c r="K80" s="5" t="s">
        <v>744</v>
      </c>
    </row>
    <row r="81" spans="1:11">
      <c r="B81" s="5" t="s">
        <v>741</v>
      </c>
      <c r="C81" s="5" t="s">
        <v>319</v>
      </c>
      <c r="D81" s="5" t="s">
        <v>107</v>
      </c>
      <c r="E81" s="6">
        <v>1004314100022</v>
      </c>
      <c r="F81" s="7" t="s">
        <v>745</v>
      </c>
      <c r="G81" s="5" t="s">
        <v>635</v>
      </c>
      <c r="H81" s="14" t="s">
        <v>743</v>
      </c>
      <c r="I81" s="5">
        <v>268079</v>
      </c>
      <c r="J81" s="5" t="s">
        <v>738</v>
      </c>
      <c r="K81" s="5"/>
    </row>
    <row r="82" spans="1:11" ht="15" customHeight="1">
      <c r="A82" s="1">
        <v>24</v>
      </c>
      <c r="B82" s="5" t="s">
        <v>746</v>
      </c>
      <c r="C82" s="5" t="s">
        <v>177</v>
      </c>
      <c r="D82" s="5" t="s">
        <v>107</v>
      </c>
      <c r="E82" s="6">
        <v>1005801030036</v>
      </c>
      <c r="F82" s="11" t="s">
        <v>747</v>
      </c>
      <c r="G82" s="5" t="s">
        <v>635</v>
      </c>
      <c r="H82" s="14" t="s">
        <v>743</v>
      </c>
      <c r="I82" s="5">
        <v>268072</v>
      </c>
      <c r="J82" s="5" t="s">
        <v>738</v>
      </c>
      <c r="K82" s="5" t="s">
        <v>748</v>
      </c>
    </row>
    <row r="83" spans="1:11">
      <c r="B83" s="5" t="s">
        <v>746</v>
      </c>
      <c r="C83" s="5" t="s">
        <v>177</v>
      </c>
      <c r="D83" s="5" t="s">
        <v>107</v>
      </c>
      <c r="E83" s="6">
        <v>1005801030052</v>
      </c>
      <c r="F83" s="7" t="s">
        <v>749</v>
      </c>
      <c r="G83" s="5" t="s">
        <v>635</v>
      </c>
      <c r="H83" s="14" t="s">
        <v>743</v>
      </c>
      <c r="I83" s="5">
        <v>268072</v>
      </c>
      <c r="J83" s="5" t="s">
        <v>738</v>
      </c>
      <c r="K83" s="5"/>
    </row>
    <row r="84" spans="1:11">
      <c r="A84" s="1">
        <v>25</v>
      </c>
      <c r="B84" s="5" t="s">
        <v>750</v>
      </c>
      <c r="C84" s="5" t="s">
        <v>177</v>
      </c>
      <c r="D84" s="5" t="s">
        <v>107</v>
      </c>
      <c r="E84" s="6">
        <v>1011806040026</v>
      </c>
      <c r="F84" s="7" t="s">
        <v>751</v>
      </c>
      <c r="G84" s="5" t="s">
        <v>635</v>
      </c>
      <c r="H84" s="14" t="s">
        <v>743</v>
      </c>
      <c r="I84" s="5">
        <v>272852</v>
      </c>
      <c r="J84" s="5" t="s">
        <v>752</v>
      </c>
      <c r="K84" s="5" t="s">
        <v>753</v>
      </c>
    </row>
    <row r="85" spans="1:11" ht="105">
      <c r="A85" s="1">
        <v>26</v>
      </c>
      <c r="B85" s="5" t="s">
        <v>754</v>
      </c>
      <c r="C85" s="5" t="s">
        <v>319</v>
      </c>
      <c r="D85" s="5" t="s">
        <v>246</v>
      </c>
      <c r="E85" s="6">
        <v>1004314750019</v>
      </c>
      <c r="F85" s="11" t="s">
        <v>755</v>
      </c>
      <c r="G85" s="5" t="s">
        <v>635</v>
      </c>
      <c r="H85" s="10" t="s">
        <v>756</v>
      </c>
      <c r="I85" s="5">
        <v>272473</v>
      </c>
      <c r="J85" s="5" t="s">
        <v>637</v>
      </c>
      <c r="K85" s="5" t="s">
        <v>757</v>
      </c>
    </row>
    <row r="86" spans="1:11" ht="105">
      <c r="B86" s="5" t="s">
        <v>754</v>
      </c>
      <c r="C86" s="5" t="s">
        <v>319</v>
      </c>
      <c r="D86" s="5" t="s">
        <v>246</v>
      </c>
      <c r="E86" s="6">
        <v>1832603550015</v>
      </c>
      <c r="F86" s="11" t="s">
        <v>755</v>
      </c>
      <c r="G86" s="5" t="s">
        <v>635</v>
      </c>
      <c r="H86" s="10" t="s">
        <v>756</v>
      </c>
      <c r="I86" s="5">
        <v>272473</v>
      </c>
      <c r="J86" s="5" t="s">
        <v>637</v>
      </c>
      <c r="K86" s="5"/>
    </row>
    <row r="87" spans="1:11" ht="105">
      <c r="A87" s="1">
        <v>27</v>
      </c>
      <c r="B87" s="5" t="s">
        <v>754</v>
      </c>
      <c r="C87" s="5" t="s">
        <v>273</v>
      </c>
      <c r="D87" s="5" t="s">
        <v>246</v>
      </c>
      <c r="E87" s="6">
        <v>1004314750027</v>
      </c>
      <c r="F87" s="7" t="s">
        <v>758</v>
      </c>
      <c r="G87" s="5" t="s">
        <v>635</v>
      </c>
      <c r="H87" s="10" t="s">
        <v>756</v>
      </c>
      <c r="I87" s="5">
        <v>272472</v>
      </c>
      <c r="J87" s="5" t="s">
        <v>637</v>
      </c>
      <c r="K87" s="5" t="s">
        <v>757</v>
      </c>
    </row>
    <row r="88" spans="1:11" ht="105">
      <c r="B88" s="5" t="s">
        <v>754</v>
      </c>
      <c r="C88" s="5" t="s">
        <v>273</v>
      </c>
      <c r="D88" s="5" t="s">
        <v>246</v>
      </c>
      <c r="E88" s="6">
        <v>1832603550023</v>
      </c>
      <c r="F88" s="7" t="s">
        <v>758</v>
      </c>
      <c r="G88" s="5" t="s">
        <v>635</v>
      </c>
      <c r="H88" s="10" t="s">
        <v>756</v>
      </c>
      <c r="I88" s="5">
        <v>272472</v>
      </c>
      <c r="J88" s="5" t="s">
        <v>637</v>
      </c>
      <c r="K88" s="5"/>
    </row>
    <row r="89" spans="1:11">
      <c r="A89" s="1">
        <v>28</v>
      </c>
      <c r="B89" s="5" t="s">
        <v>759</v>
      </c>
      <c r="C89" s="5" t="s">
        <v>339</v>
      </c>
      <c r="D89" s="5" t="s">
        <v>107</v>
      </c>
      <c r="E89" s="6">
        <v>1005801010019</v>
      </c>
      <c r="F89" s="11" t="s">
        <v>760</v>
      </c>
      <c r="G89" s="5" t="s">
        <v>635</v>
      </c>
      <c r="H89" s="10" t="s">
        <v>761</v>
      </c>
      <c r="I89" s="5">
        <v>361382</v>
      </c>
      <c r="J89" s="5" t="s">
        <v>752</v>
      </c>
      <c r="K89" s="5" t="s">
        <v>762</v>
      </c>
    </row>
    <row r="90" spans="1:11">
      <c r="A90" s="1">
        <v>29</v>
      </c>
      <c r="B90" s="5" t="s">
        <v>763</v>
      </c>
      <c r="C90" s="5" t="s">
        <v>319</v>
      </c>
      <c r="D90" s="5" t="s">
        <v>764</v>
      </c>
      <c r="E90" s="6">
        <v>1733300040012</v>
      </c>
      <c r="F90" s="11" t="s">
        <v>765</v>
      </c>
      <c r="G90" s="5" t="s">
        <v>635</v>
      </c>
      <c r="H90" s="14" t="s">
        <v>766</v>
      </c>
      <c r="I90" s="5">
        <v>396086</v>
      </c>
      <c r="J90" s="5" t="s">
        <v>752</v>
      </c>
      <c r="K90" s="5" t="s">
        <v>767</v>
      </c>
    </row>
    <row r="91" spans="1:11" ht="45">
      <c r="A91" s="1">
        <v>30</v>
      </c>
      <c r="B91" s="5" t="s">
        <v>768</v>
      </c>
      <c r="C91" s="5" t="s">
        <v>279</v>
      </c>
      <c r="D91" s="5" t="s">
        <v>107</v>
      </c>
      <c r="E91" s="6">
        <v>1006811320019</v>
      </c>
      <c r="F91" s="11" t="s">
        <v>769</v>
      </c>
      <c r="G91" s="5" t="s">
        <v>635</v>
      </c>
      <c r="H91" s="10" t="s">
        <v>770</v>
      </c>
      <c r="I91" s="5">
        <v>410019</v>
      </c>
      <c r="J91" s="5" t="s">
        <v>771</v>
      </c>
      <c r="K91" s="5" t="s">
        <v>772</v>
      </c>
    </row>
    <row r="92" spans="1:11" ht="45">
      <c r="A92" s="1">
        <v>31</v>
      </c>
      <c r="B92" s="5" t="s">
        <v>768</v>
      </c>
      <c r="C92" s="5" t="s">
        <v>159</v>
      </c>
      <c r="D92" s="5" t="s">
        <v>107</v>
      </c>
      <c r="E92" s="6">
        <v>1006811320035</v>
      </c>
      <c r="F92" s="7" t="s">
        <v>773</v>
      </c>
      <c r="G92" s="5" t="s">
        <v>635</v>
      </c>
      <c r="H92" s="10" t="s">
        <v>770</v>
      </c>
      <c r="I92" s="5">
        <v>410020</v>
      </c>
      <c r="J92" s="5" t="s">
        <v>771</v>
      </c>
      <c r="K92" s="5" t="s">
        <v>772</v>
      </c>
    </row>
    <row r="93" spans="1:11" ht="45">
      <c r="A93" s="1">
        <v>32</v>
      </c>
      <c r="B93" s="5" t="s">
        <v>774</v>
      </c>
      <c r="C93" s="5" t="s">
        <v>656</v>
      </c>
      <c r="D93" s="5" t="s">
        <v>649</v>
      </c>
      <c r="E93" s="6">
        <v>1057301200067</v>
      </c>
      <c r="F93" s="7" t="s">
        <v>775</v>
      </c>
      <c r="G93" s="5" t="s">
        <v>635</v>
      </c>
      <c r="H93" s="10" t="s">
        <v>643</v>
      </c>
      <c r="I93" s="5">
        <v>400776</v>
      </c>
      <c r="J93" s="5" t="s">
        <v>776</v>
      </c>
      <c r="K93" s="5" t="s">
        <v>549</v>
      </c>
    </row>
    <row r="94" spans="1:11" ht="45">
      <c r="B94" s="5" t="s">
        <v>777</v>
      </c>
      <c r="C94" s="5" t="s">
        <v>648</v>
      </c>
      <c r="D94" s="5" t="s">
        <v>778</v>
      </c>
      <c r="E94" s="6">
        <v>1287600090012</v>
      </c>
      <c r="F94" s="15" t="s">
        <v>779</v>
      </c>
      <c r="G94" s="5" t="s">
        <v>635</v>
      </c>
      <c r="H94" s="10" t="s">
        <v>643</v>
      </c>
      <c r="I94" s="5">
        <v>400775</v>
      </c>
      <c r="J94" s="5" t="s">
        <v>776</v>
      </c>
      <c r="K94" s="5"/>
    </row>
    <row r="95" spans="1:11" ht="45">
      <c r="B95" s="5" t="s">
        <v>780</v>
      </c>
      <c r="C95" s="5" t="s">
        <v>648</v>
      </c>
      <c r="D95" s="5" t="s">
        <v>778</v>
      </c>
      <c r="E95" s="6">
        <v>1057301200047</v>
      </c>
      <c r="F95" s="15" t="s">
        <v>781</v>
      </c>
      <c r="G95" s="5" t="s">
        <v>635</v>
      </c>
      <c r="H95" s="10" t="s">
        <v>643</v>
      </c>
      <c r="I95" s="5">
        <v>400775</v>
      </c>
      <c r="J95" s="5" t="s">
        <v>776</v>
      </c>
      <c r="K95" s="5"/>
    </row>
    <row r="96" spans="1:11" ht="45">
      <c r="B96" s="5" t="s">
        <v>780</v>
      </c>
      <c r="C96" s="5" t="s">
        <v>656</v>
      </c>
      <c r="D96" s="5" t="s">
        <v>778</v>
      </c>
      <c r="E96" s="6">
        <v>1057301200067</v>
      </c>
      <c r="F96" s="12" t="s">
        <v>775</v>
      </c>
      <c r="G96" s="5" t="s">
        <v>635</v>
      </c>
      <c r="H96" s="10" t="s">
        <v>643</v>
      </c>
      <c r="I96" s="5">
        <v>400776</v>
      </c>
      <c r="J96" s="16" t="s">
        <v>776</v>
      </c>
      <c r="K96" s="17"/>
    </row>
    <row r="97" spans="1:11">
      <c r="B97" s="5" t="s">
        <v>782</v>
      </c>
      <c r="C97" s="5" t="s">
        <v>783</v>
      </c>
      <c r="D97" s="5" t="s">
        <v>778</v>
      </c>
      <c r="E97" s="6">
        <v>1057301200075</v>
      </c>
      <c r="F97" s="15" t="s">
        <v>784</v>
      </c>
      <c r="G97" s="5" t="s">
        <v>635</v>
      </c>
      <c r="H97" s="14" t="s">
        <v>785</v>
      </c>
      <c r="I97" s="5">
        <v>475000</v>
      </c>
      <c r="J97" s="5" t="s">
        <v>776</v>
      </c>
      <c r="K97" s="5"/>
    </row>
    <row r="98" spans="1:11">
      <c r="A98" s="1">
        <v>34</v>
      </c>
      <c r="B98" s="5" t="s">
        <v>786</v>
      </c>
      <c r="C98" s="5" t="s">
        <v>319</v>
      </c>
      <c r="D98" s="5" t="s">
        <v>107</v>
      </c>
      <c r="E98" s="6">
        <v>1945300010012</v>
      </c>
      <c r="F98" s="7" t="s">
        <v>787</v>
      </c>
      <c r="G98" s="5" t="s">
        <v>635</v>
      </c>
      <c r="H98" s="14" t="s">
        <v>788</v>
      </c>
      <c r="I98" s="5">
        <v>602487</v>
      </c>
      <c r="J98" s="5" t="s">
        <v>771</v>
      </c>
      <c r="K98" s="5" t="s">
        <v>316</v>
      </c>
    </row>
    <row r="99" spans="1:11">
      <c r="A99" s="1">
        <v>35</v>
      </c>
      <c r="B99" s="5" t="s">
        <v>786</v>
      </c>
      <c r="C99" s="5" t="s">
        <v>339</v>
      </c>
      <c r="D99" s="5" t="s">
        <v>246</v>
      </c>
      <c r="E99" s="6">
        <v>1023512140019</v>
      </c>
      <c r="F99" s="11" t="s">
        <v>789</v>
      </c>
      <c r="G99" s="5" t="s">
        <v>635</v>
      </c>
      <c r="H99" s="14" t="s">
        <v>788</v>
      </c>
      <c r="I99" s="5">
        <v>268110</v>
      </c>
      <c r="J99" s="5" t="s">
        <v>771</v>
      </c>
      <c r="K99" s="5" t="s">
        <v>316</v>
      </c>
    </row>
    <row r="100" spans="1:11">
      <c r="B100" s="5" t="s">
        <v>786</v>
      </c>
      <c r="C100" s="5" t="s">
        <v>339</v>
      </c>
      <c r="D100" s="5" t="s">
        <v>246</v>
      </c>
      <c r="E100" s="6">
        <v>1023512140027</v>
      </c>
      <c r="F100" s="7" t="s">
        <v>790</v>
      </c>
      <c r="G100" s="5" t="s">
        <v>635</v>
      </c>
      <c r="H100" s="14" t="s">
        <v>788</v>
      </c>
      <c r="I100" s="5">
        <v>268110</v>
      </c>
      <c r="J100" s="5" t="s">
        <v>771</v>
      </c>
      <c r="K100" s="5"/>
    </row>
    <row r="101" spans="1:11">
      <c r="B101" s="5" t="s">
        <v>786</v>
      </c>
      <c r="C101" s="5" t="s">
        <v>339</v>
      </c>
      <c r="D101" s="5" t="s">
        <v>246</v>
      </c>
      <c r="E101" s="6">
        <v>1023512140035</v>
      </c>
      <c r="F101" s="11" t="s">
        <v>791</v>
      </c>
      <c r="G101" s="5" t="s">
        <v>635</v>
      </c>
      <c r="H101" s="14" t="s">
        <v>788</v>
      </c>
      <c r="I101" s="5">
        <v>268110</v>
      </c>
      <c r="J101" s="5" t="s">
        <v>771</v>
      </c>
      <c r="K101" s="5"/>
    </row>
    <row r="102" spans="1:11">
      <c r="B102" s="5" t="s">
        <v>786</v>
      </c>
      <c r="C102" s="5" t="s">
        <v>339</v>
      </c>
      <c r="D102" s="5" t="s">
        <v>246</v>
      </c>
      <c r="E102" s="6">
        <v>1023512140043</v>
      </c>
      <c r="F102" s="7" t="s">
        <v>792</v>
      </c>
      <c r="G102" s="5" t="s">
        <v>635</v>
      </c>
      <c r="H102" s="14" t="s">
        <v>788</v>
      </c>
      <c r="I102" s="5">
        <v>268110</v>
      </c>
      <c r="J102" s="5" t="s">
        <v>771</v>
      </c>
      <c r="K102" s="5"/>
    </row>
    <row r="103" spans="1:11">
      <c r="B103" s="5" t="s">
        <v>786</v>
      </c>
      <c r="C103" s="5" t="s">
        <v>339</v>
      </c>
      <c r="D103" s="5" t="s">
        <v>246</v>
      </c>
      <c r="E103" s="6">
        <v>1023512140051</v>
      </c>
      <c r="F103" s="11" t="s">
        <v>793</v>
      </c>
      <c r="G103" s="5" t="s">
        <v>635</v>
      </c>
      <c r="H103" s="14" t="s">
        <v>788</v>
      </c>
      <c r="I103" s="5">
        <v>268110</v>
      </c>
      <c r="J103" s="5" t="s">
        <v>771</v>
      </c>
      <c r="K103" s="5"/>
    </row>
    <row r="104" spans="1:11">
      <c r="B104" s="5" t="s">
        <v>786</v>
      </c>
      <c r="C104" s="5" t="s">
        <v>339</v>
      </c>
      <c r="D104" s="5" t="s">
        <v>246</v>
      </c>
      <c r="E104" s="6">
        <v>1023512140061</v>
      </c>
      <c r="F104" s="7" t="s">
        <v>794</v>
      </c>
      <c r="G104" s="5" t="s">
        <v>635</v>
      </c>
      <c r="H104" s="14" t="s">
        <v>788</v>
      </c>
      <c r="I104" s="5">
        <v>268110</v>
      </c>
      <c r="J104" s="5" t="s">
        <v>771</v>
      </c>
      <c r="K104" s="5"/>
    </row>
    <row r="105" spans="1:11">
      <c r="B105" s="5" t="s">
        <v>786</v>
      </c>
      <c r="C105" s="5" t="s">
        <v>339</v>
      </c>
      <c r="D105" s="5" t="s">
        <v>246</v>
      </c>
      <c r="E105" s="6">
        <v>1023512140019</v>
      </c>
      <c r="F105" s="11" t="s">
        <v>789</v>
      </c>
      <c r="G105" s="5" t="s">
        <v>635</v>
      </c>
      <c r="H105" s="14" t="s">
        <v>788</v>
      </c>
      <c r="I105" s="5">
        <v>268110</v>
      </c>
      <c r="J105" s="5" t="s">
        <v>771</v>
      </c>
      <c r="K105" s="5"/>
    </row>
    <row r="106" spans="1:11">
      <c r="B106" s="5" t="s">
        <v>786</v>
      </c>
      <c r="C106" s="5" t="s">
        <v>339</v>
      </c>
      <c r="D106" s="5" t="s">
        <v>246</v>
      </c>
      <c r="E106" s="6">
        <v>1023512140027</v>
      </c>
      <c r="F106" s="7" t="s">
        <v>790</v>
      </c>
      <c r="G106" s="5" t="s">
        <v>635</v>
      </c>
      <c r="H106" s="14" t="s">
        <v>788</v>
      </c>
      <c r="I106" s="5">
        <v>268110</v>
      </c>
      <c r="J106" s="5" t="s">
        <v>771</v>
      </c>
      <c r="K106" s="5"/>
    </row>
    <row r="107" spans="1:11">
      <c r="B107" s="5" t="s">
        <v>786</v>
      </c>
      <c r="C107" s="5" t="s">
        <v>339</v>
      </c>
      <c r="D107" s="5" t="s">
        <v>246</v>
      </c>
      <c r="E107" s="6">
        <v>1023512140035</v>
      </c>
      <c r="F107" s="11" t="s">
        <v>791</v>
      </c>
      <c r="G107" s="5" t="s">
        <v>635</v>
      </c>
      <c r="H107" s="14" t="s">
        <v>788</v>
      </c>
      <c r="I107" s="5">
        <v>268110</v>
      </c>
      <c r="J107" s="5" t="s">
        <v>771</v>
      </c>
      <c r="K107" s="5"/>
    </row>
    <row r="108" spans="1:11">
      <c r="B108" s="5" t="s">
        <v>786</v>
      </c>
      <c r="C108" s="5" t="s">
        <v>339</v>
      </c>
      <c r="D108" s="5" t="s">
        <v>246</v>
      </c>
      <c r="E108" s="6">
        <v>1023512140043</v>
      </c>
      <c r="F108" s="7" t="s">
        <v>792</v>
      </c>
      <c r="G108" s="5" t="s">
        <v>635</v>
      </c>
      <c r="H108" s="14" t="s">
        <v>788</v>
      </c>
      <c r="I108" s="5">
        <v>268110</v>
      </c>
      <c r="J108" s="5" t="s">
        <v>771</v>
      </c>
      <c r="K108" s="5"/>
    </row>
    <row r="109" spans="1:11">
      <c r="B109" s="5" t="s">
        <v>786</v>
      </c>
      <c r="C109" s="5" t="s">
        <v>339</v>
      </c>
      <c r="D109" s="5" t="s">
        <v>246</v>
      </c>
      <c r="E109" s="6">
        <v>1023512140051</v>
      </c>
      <c r="F109" s="11" t="s">
        <v>793</v>
      </c>
      <c r="G109" s="5" t="s">
        <v>635</v>
      </c>
      <c r="H109" s="14" t="s">
        <v>788</v>
      </c>
      <c r="I109" s="5">
        <v>268110</v>
      </c>
      <c r="J109" s="5" t="s">
        <v>771</v>
      </c>
      <c r="K109" s="5"/>
    </row>
    <row r="110" spans="1:11">
      <c r="B110" s="5" t="s">
        <v>786</v>
      </c>
      <c r="C110" s="5" t="s">
        <v>339</v>
      </c>
      <c r="D110" s="5" t="s">
        <v>246</v>
      </c>
      <c r="E110" s="6">
        <v>1023512140061</v>
      </c>
      <c r="F110" s="7" t="s">
        <v>794</v>
      </c>
      <c r="G110" s="5" t="s">
        <v>635</v>
      </c>
      <c r="H110" s="14" t="s">
        <v>788</v>
      </c>
      <c r="I110" s="5">
        <v>268110</v>
      </c>
      <c r="J110" s="5" t="s">
        <v>771</v>
      </c>
      <c r="K110" s="5"/>
    </row>
    <row r="111" spans="1:11">
      <c r="B111" s="5" t="s">
        <v>786</v>
      </c>
      <c r="C111" s="5" t="s">
        <v>339</v>
      </c>
      <c r="D111" s="5" t="s">
        <v>246</v>
      </c>
      <c r="E111" s="6">
        <v>1029805730013</v>
      </c>
      <c r="F111" s="11" t="s">
        <v>789</v>
      </c>
      <c r="G111" s="5" t="s">
        <v>635</v>
      </c>
      <c r="H111" s="14" t="s">
        <v>788</v>
      </c>
      <c r="I111" s="5">
        <v>268110</v>
      </c>
      <c r="J111" s="5" t="s">
        <v>771</v>
      </c>
      <c r="K111" s="5"/>
    </row>
    <row r="112" spans="1:11">
      <c r="B112" s="5" t="s">
        <v>786</v>
      </c>
      <c r="C112" s="5" t="s">
        <v>339</v>
      </c>
      <c r="D112" s="5" t="s">
        <v>246</v>
      </c>
      <c r="E112" s="6">
        <v>1163701900016</v>
      </c>
      <c r="F112" s="7" t="s">
        <v>789</v>
      </c>
      <c r="G112" s="5" t="s">
        <v>635</v>
      </c>
      <c r="H112" s="14" t="s">
        <v>788</v>
      </c>
      <c r="I112" s="5">
        <v>268110</v>
      </c>
      <c r="J112" s="5" t="s">
        <v>771</v>
      </c>
      <c r="K112" s="5"/>
    </row>
    <row r="113" spans="1:11">
      <c r="B113" s="5" t="s">
        <v>786</v>
      </c>
      <c r="C113" s="5" t="s">
        <v>339</v>
      </c>
      <c r="D113" s="5" t="s">
        <v>246</v>
      </c>
      <c r="E113" s="6">
        <v>1163701900024</v>
      </c>
      <c r="F113" s="11" t="s">
        <v>795</v>
      </c>
      <c r="G113" s="5" t="s">
        <v>635</v>
      </c>
      <c r="H113" s="14" t="s">
        <v>788</v>
      </c>
      <c r="I113" s="5">
        <v>268110</v>
      </c>
      <c r="J113" s="5" t="s">
        <v>771</v>
      </c>
      <c r="K113" s="5"/>
    </row>
    <row r="114" spans="1:11">
      <c r="B114" s="5" t="s">
        <v>786</v>
      </c>
      <c r="C114" s="5" t="s">
        <v>339</v>
      </c>
      <c r="D114" s="5" t="s">
        <v>246</v>
      </c>
      <c r="E114" s="6">
        <v>1163701900032</v>
      </c>
      <c r="F114" s="7" t="s">
        <v>796</v>
      </c>
      <c r="G114" s="5" t="s">
        <v>635</v>
      </c>
      <c r="H114" s="14" t="s">
        <v>788</v>
      </c>
      <c r="I114" s="5">
        <v>268110</v>
      </c>
      <c r="J114" s="5" t="s">
        <v>771</v>
      </c>
      <c r="K114" s="5"/>
    </row>
    <row r="115" spans="1:11">
      <c r="B115" s="5" t="s">
        <v>786</v>
      </c>
      <c r="C115" s="5" t="s">
        <v>339</v>
      </c>
      <c r="D115" s="5" t="s">
        <v>246</v>
      </c>
      <c r="E115" s="6">
        <v>1163701900040</v>
      </c>
      <c r="F115" s="11" t="s">
        <v>797</v>
      </c>
      <c r="G115" s="5" t="s">
        <v>635</v>
      </c>
      <c r="H115" s="14" t="s">
        <v>788</v>
      </c>
      <c r="I115" s="5">
        <v>268110</v>
      </c>
      <c r="J115" s="5" t="s">
        <v>771</v>
      </c>
      <c r="K115" s="5"/>
    </row>
    <row r="116" spans="1:11">
      <c r="B116" s="5" t="s">
        <v>786</v>
      </c>
      <c r="C116" s="5" t="s">
        <v>339</v>
      </c>
      <c r="D116" s="5" t="s">
        <v>246</v>
      </c>
      <c r="E116" s="6">
        <v>1163701900016</v>
      </c>
      <c r="F116" s="7" t="s">
        <v>789</v>
      </c>
      <c r="G116" s="5" t="s">
        <v>635</v>
      </c>
      <c r="H116" s="14" t="s">
        <v>788</v>
      </c>
      <c r="I116" s="5">
        <v>268110</v>
      </c>
      <c r="J116" s="5" t="s">
        <v>771</v>
      </c>
      <c r="K116" s="5"/>
    </row>
    <row r="117" spans="1:11">
      <c r="B117" s="5" t="s">
        <v>786</v>
      </c>
      <c r="C117" s="5" t="s">
        <v>339</v>
      </c>
      <c r="D117" s="5" t="s">
        <v>246</v>
      </c>
      <c r="E117" s="6">
        <v>1163701900024</v>
      </c>
      <c r="F117" s="11" t="s">
        <v>795</v>
      </c>
      <c r="G117" s="5" t="s">
        <v>635</v>
      </c>
      <c r="H117" s="14" t="s">
        <v>788</v>
      </c>
      <c r="I117" s="5">
        <v>268110</v>
      </c>
      <c r="J117" s="5" t="s">
        <v>771</v>
      </c>
      <c r="K117" s="5"/>
    </row>
    <row r="118" spans="1:11">
      <c r="B118" s="5" t="s">
        <v>786</v>
      </c>
      <c r="C118" s="5" t="s">
        <v>339</v>
      </c>
      <c r="D118" s="5" t="s">
        <v>246</v>
      </c>
      <c r="E118" s="6">
        <v>1163701900032</v>
      </c>
      <c r="F118" s="7" t="s">
        <v>796</v>
      </c>
      <c r="G118" s="5" t="s">
        <v>635</v>
      </c>
      <c r="H118" s="14" t="s">
        <v>788</v>
      </c>
      <c r="I118" s="5">
        <v>268110</v>
      </c>
      <c r="J118" s="5" t="s">
        <v>771</v>
      </c>
      <c r="K118" s="5"/>
    </row>
    <row r="119" spans="1:11">
      <c r="B119" s="5" t="s">
        <v>786</v>
      </c>
      <c r="C119" s="5" t="s">
        <v>339</v>
      </c>
      <c r="D119" s="5" t="s">
        <v>246</v>
      </c>
      <c r="E119" s="6">
        <v>1163701900040</v>
      </c>
      <c r="F119" s="11" t="s">
        <v>797</v>
      </c>
      <c r="G119" s="5" t="s">
        <v>635</v>
      </c>
      <c r="H119" s="14" t="s">
        <v>788</v>
      </c>
      <c r="I119" s="5">
        <v>268110</v>
      </c>
      <c r="J119" s="5" t="s">
        <v>771</v>
      </c>
      <c r="K119" s="5"/>
    </row>
    <row r="120" spans="1:11">
      <c r="A120" s="1">
        <v>36</v>
      </c>
      <c r="B120" s="5" t="s">
        <v>798</v>
      </c>
      <c r="C120" s="5" t="s">
        <v>799</v>
      </c>
      <c r="D120" s="5" t="s">
        <v>171</v>
      </c>
      <c r="E120" s="6">
        <v>1705600760015</v>
      </c>
      <c r="F120" s="11" t="s">
        <v>800</v>
      </c>
      <c r="G120" s="5" t="s">
        <v>635</v>
      </c>
      <c r="H120" s="14" t="s">
        <v>719</v>
      </c>
      <c r="I120" s="5">
        <v>294881</v>
      </c>
      <c r="J120" s="5" t="s">
        <v>667</v>
      </c>
      <c r="K120" s="5" t="s">
        <v>801</v>
      </c>
    </row>
    <row r="121" spans="1:11" ht="180">
      <c r="A121" s="1">
        <v>37</v>
      </c>
      <c r="B121" s="5" t="s">
        <v>413</v>
      </c>
      <c r="C121" s="5" t="s">
        <v>802</v>
      </c>
      <c r="D121" s="5" t="s">
        <v>160</v>
      </c>
      <c r="E121" s="6" t="e">
        <v>#N/A</v>
      </c>
      <c r="F121" s="5"/>
      <c r="G121" s="5" t="s">
        <v>635</v>
      </c>
      <c r="H121" s="8" t="s">
        <v>803</v>
      </c>
      <c r="I121" s="5">
        <v>450108</v>
      </c>
      <c r="J121" s="5" t="s">
        <v>804</v>
      </c>
      <c r="K121" s="5" t="s">
        <v>415</v>
      </c>
    </row>
    <row r="122" spans="1:11" ht="180">
      <c r="A122" s="1">
        <v>38</v>
      </c>
      <c r="B122" s="5" t="s">
        <v>413</v>
      </c>
      <c r="C122" s="5" t="s">
        <v>805</v>
      </c>
      <c r="D122" s="5" t="s">
        <v>94</v>
      </c>
      <c r="E122" s="6" t="e">
        <v>#N/A</v>
      </c>
      <c r="F122" s="5"/>
      <c r="G122" s="5" t="s">
        <v>635</v>
      </c>
      <c r="H122" s="8" t="s">
        <v>803</v>
      </c>
      <c r="I122" s="5">
        <v>450106</v>
      </c>
      <c r="J122" s="5" t="s">
        <v>804</v>
      </c>
      <c r="K122" s="5" t="s">
        <v>415</v>
      </c>
    </row>
    <row r="123" spans="1:11" ht="180">
      <c r="A123" s="1">
        <v>39</v>
      </c>
      <c r="B123" s="5" t="s">
        <v>413</v>
      </c>
      <c r="C123" s="5" t="s">
        <v>806</v>
      </c>
      <c r="D123" s="5" t="s">
        <v>160</v>
      </c>
      <c r="E123" s="6" t="e">
        <v>#N/A</v>
      </c>
      <c r="F123" s="5"/>
      <c r="G123" s="5" t="s">
        <v>635</v>
      </c>
      <c r="H123" s="8" t="s">
        <v>803</v>
      </c>
      <c r="I123" s="5">
        <v>446197</v>
      </c>
      <c r="J123" s="5" t="s">
        <v>804</v>
      </c>
      <c r="K123" s="5" t="s">
        <v>415</v>
      </c>
    </row>
    <row r="124" spans="1:11" ht="180">
      <c r="A124" s="1">
        <v>40</v>
      </c>
      <c r="B124" s="5" t="s">
        <v>413</v>
      </c>
      <c r="C124" s="5" t="s">
        <v>807</v>
      </c>
      <c r="D124" s="5" t="s">
        <v>94</v>
      </c>
      <c r="E124" s="6" t="e">
        <v>#N/A</v>
      </c>
      <c r="F124" s="5"/>
      <c r="G124" s="5" t="s">
        <v>635</v>
      </c>
      <c r="H124" s="8" t="s">
        <v>803</v>
      </c>
      <c r="I124" s="5">
        <v>450102</v>
      </c>
      <c r="J124" s="5" t="s">
        <v>804</v>
      </c>
      <c r="K124" s="5" t="s">
        <v>415</v>
      </c>
    </row>
    <row r="125" spans="1:11" ht="180">
      <c r="A125" s="1">
        <v>41</v>
      </c>
      <c r="B125" s="5" t="s">
        <v>413</v>
      </c>
      <c r="C125" s="5" t="s">
        <v>808</v>
      </c>
      <c r="D125" s="5" t="s">
        <v>160</v>
      </c>
      <c r="E125" s="6" t="e">
        <v>#N/A</v>
      </c>
      <c r="F125" s="5"/>
      <c r="G125" s="5" t="s">
        <v>635</v>
      </c>
      <c r="H125" s="8" t="s">
        <v>803</v>
      </c>
      <c r="I125" s="5">
        <v>450107</v>
      </c>
      <c r="J125" s="5" t="s">
        <v>804</v>
      </c>
      <c r="K125" s="5" t="s">
        <v>415</v>
      </c>
    </row>
    <row r="126" spans="1:11" ht="180">
      <c r="A126" s="1">
        <v>42</v>
      </c>
      <c r="B126" s="5" t="s">
        <v>413</v>
      </c>
      <c r="C126" s="5" t="s">
        <v>450</v>
      </c>
      <c r="D126" s="5" t="s">
        <v>94</v>
      </c>
      <c r="E126" s="6" t="e">
        <v>#N/A</v>
      </c>
      <c r="F126" s="5"/>
      <c r="G126" s="5" t="s">
        <v>635</v>
      </c>
      <c r="H126" s="8" t="s">
        <v>803</v>
      </c>
      <c r="I126" s="5">
        <v>433816</v>
      </c>
      <c r="J126" s="5" t="s">
        <v>804</v>
      </c>
      <c r="K126" s="5" t="s">
        <v>415</v>
      </c>
    </row>
    <row r="127" spans="1:11">
      <c r="A127" s="1">
        <v>43</v>
      </c>
      <c r="B127" s="5" t="s">
        <v>809</v>
      </c>
      <c r="C127" s="5" t="s">
        <v>319</v>
      </c>
      <c r="D127" s="5" t="s">
        <v>160</v>
      </c>
      <c r="E127" s="6">
        <v>1010703350016</v>
      </c>
      <c r="F127" s="11" t="s">
        <v>810</v>
      </c>
      <c r="G127" s="5" t="s">
        <v>635</v>
      </c>
      <c r="H127" s="14" t="s">
        <v>811</v>
      </c>
      <c r="I127" s="5">
        <v>457885</v>
      </c>
      <c r="J127" s="5" t="s">
        <v>708</v>
      </c>
      <c r="K127" s="5" t="s">
        <v>812</v>
      </c>
    </row>
    <row r="128" spans="1:11">
      <c r="A128" s="1">
        <v>44</v>
      </c>
      <c r="B128" s="5" t="s">
        <v>809</v>
      </c>
      <c r="C128" s="5" t="s">
        <v>450</v>
      </c>
      <c r="D128" s="5" t="s">
        <v>94</v>
      </c>
      <c r="E128" s="6">
        <v>1010703350024</v>
      </c>
      <c r="F128" s="7" t="s">
        <v>813</v>
      </c>
      <c r="G128" s="5" t="s">
        <v>635</v>
      </c>
      <c r="H128" s="14" t="s">
        <v>811</v>
      </c>
      <c r="I128" s="5">
        <v>457885</v>
      </c>
      <c r="J128" s="5" t="s">
        <v>708</v>
      </c>
      <c r="K128" s="5" t="s">
        <v>812</v>
      </c>
    </row>
    <row r="129" spans="1:11">
      <c r="B129" s="5" t="s">
        <v>809</v>
      </c>
      <c r="C129" s="5" t="s">
        <v>450</v>
      </c>
      <c r="D129" s="5" t="s">
        <v>94</v>
      </c>
      <c r="E129" s="6">
        <v>1010703350032</v>
      </c>
      <c r="F129" s="11" t="s">
        <v>814</v>
      </c>
      <c r="G129" s="5" t="s">
        <v>635</v>
      </c>
      <c r="H129" s="14" t="s">
        <v>811</v>
      </c>
      <c r="I129" s="5">
        <v>457885</v>
      </c>
      <c r="J129" s="5" t="s">
        <v>708</v>
      </c>
      <c r="K129" s="5"/>
    </row>
    <row r="130" spans="1:11" ht="15" customHeight="1">
      <c r="A130" s="1">
        <v>45</v>
      </c>
      <c r="B130" s="5" t="s">
        <v>809</v>
      </c>
      <c r="C130" s="5" t="s">
        <v>365</v>
      </c>
      <c r="D130" s="5" t="s">
        <v>94</v>
      </c>
      <c r="E130" s="6">
        <v>1010703350040</v>
      </c>
      <c r="F130" s="7" t="s">
        <v>815</v>
      </c>
      <c r="G130" s="5" t="s">
        <v>635</v>
      </c>
      <c r="H130" s="14" t="s">
        <v>811</v>
      </c>
      <c r="I130" s="5">
        <v>457885</v>
      </c>
      <c r="J130" s="5" t="s">
        <v>708</v>
      </c>
      <c r="K130" s="5" t="s">
        <v>812</v>
      </c>
    </row>
    <row r="131" spans="1:11">
      <c r="A131" s="1">
        <v>46</v>
      </c>
      <c r="B131" s="5" t="s">
        <v>816</v>
      </c>
      <c r="C131" s="5" t="s">
        <v>245</v>
      </c>
      <c r="D131" s="5" t="s">
        <v>107</v>
      </c>
      <c r="E131" s="6">
        <v>1006800170118</v>
      </c>
      <c r="F131" s="11" t="s">
        <v>817</v>
      </c>
      <c r="G131" s="5" t="s">
        <v>635</v>
      </c>
      <c r="H131" s="14" t="s">
        <v>818</v>
      </c>
      <c r="I131" s="5">
        <v>270143</v>
      </c>
      <c r="J131" s="5" t="s">
        <v>771</v>
      </c>
      <c r="K131" s="5" t="s">
        <v>819</v>
      </c>
    </row>
    <row r="132" spans="1:11" ht="45">
      <c r="A132" s="1">
        <v>47</v>
      </c>
      <c r="B132" s="5" t="s">
        <v>820</v>
      </c>
      <c r="C132" s="5" t="s">
        <v>339</v>
      </c>
      <c r="D132" s="5" t="s">
        <v>160</v>
      </c>
      <c r="E132" s="6">
        <v>1006800530041</v>
      </c>
      <c r="F132" s="11" t="s">
        <v>821</v>
      </c>
      <c r="G132" s="5" t="s">
        <v>635</v>
      </c>
      <c r="H132" s="8" t="s">
        <v>822</v>
      </c>
      <c r="I132" s="5">
        <v>266736</v>
      </c>
      <c r="J132" s="5" t="s">
        <v>823</v>
      </c>
      <c r="K132" s="5" t="s">
        <v>824</v>
      </c>
    </row>
    <row r="133" spans="1:11" ht="45">
      <c r="B133" s="5" t="s">
        <v>820</v>
      </c>
      <c r="C133" s="5" t="s">
        <v>339</v>
      </c>
      <c r="D133" s="5" t="s">
        <v>160</v>
      </c>
      <c r="E133" s="6">
        <v>1029803750017</v>
      </c>
      <c r="F133" s="7" t="s">
        <v>825</v>
      </c>
      <c r="G133" s="5" t="s">
        <v>635</v>
      </c>
      <c r="H133" s="8" t="s">
        <v>822</v>
      </c>
      <c r="I133" s="5">
        <v>266736</v>
      </c>
      <c r="J133" s="5" t="s">
        <v>823</v>
      </c>
      <c r="K133" s="5"/>
    </row>
    <row r="134" spans="1:11">
      <c r="A134" s="1">
        <v>48</v>
      </c>
      <c r="B134" s="5" t="s">
        <v>826</v>
      </c>
      <c r="C134" s="5" t="s">
        <v>432</v>
      </c>
      <c r="D134" s="5" t="s">
        <v>160</v>
      </c>
      <c r="E134" s="6">
        <v>1006809830013</v>
      </c>
      <c r="F134" s="11" t="s">
        <v>827</v>
      </c>
      <c r="G134" s="5" t="s">
        <v>635</v>
      </c>
      <c r="H134" s="14" t="s">
        <v>811</v>
      </c>
      <c r="I134" s="5">
        <v>452740</v>
      </c>
      <c r="J134" s="5" t="s">
        <v>708</v>
      </c>
      <c r="K134" s="5" t="s">
        <v>828</v>
      </c>
    </row>
    <row r="135" spans="1:11">
      <c r="A135" s="1">
        <v>49</v>
      </c>
      <c r="B135" s="5" t="s">
        <v>826</v>
      </c>
      <c r="C135" s="5" t="s">
        <v>432</v>
      </c>
      <c r="D135" s="5" t="s">
        <v>94</v>
      </c>
      <c r="E135" s="6">
        <v>1006809830031</v>
      </c>
      <c r="F135" s="7" t="s">
        <v>829</v>
      </c>
      <c r="G135" s="5" t="s">
        <v>635</v>
      </c>
      <c r="H135" s="14" t="s">
        <v>811</v>
      </c>
      <c r="I135" s="5">
        <v>452740</v>
      </c>
      <c r="J135" s="5" t="s">
        <v>708</v>
      </c>
      <c r="K135" s="5" t="s">
        <v>828</v>
      </c>
    </row>
    <row r="136" spans="1:11" ht="30">
      <c r="A136" s="1">
        <v>50</v>
      </c>
      <c r="B136" s="5" t="s">
        <v>830</v>
      </c>
      <c r="C136" s="5" t="s">
        <v>189</v>
      </c>
      <c r="D136" s="5" t="s">
        <v>246</v>
      </c>
      <c r="E136" s="6">
        <v>1055303370028</v>
      </c>
      <c r="F136" s="11" t="s">
        <v>831</v>
      </c>
      <c r="G136" s="5" t="s">
        <v>635</v>
      </c>
      <c r="H136" s="8" t="s">
        <v>832</v>
      </c>
      <c r="I136" s="5">
        <v>297775</v>
      </c>
      <c r="J136" s="5" t="s">
        <v>833</v>
      </c>
      <c r="K136" s="5" t="s">
        <v>834</v>
      </c>
    </row>
    <row r="137" spans="1:11" ht="30">
      <c r="A137" s="1">
        <v>51</v>
      </c>
      <c r="B137" s="5" t="s">
        <v>830</v>
      </c>
      <c r="C137" s="5" t="s">
        <v>835</v>
      </c>
      <c r="D137" s="5" t="s">
        <v>246</v>
      </c>
      <c r="E137" s="6">
        <v>1055303370060</v>
      </c>
      <c r="F137" s="7" t="s">
        <v>836</v>
      </c>
      <c r="G137" s="5" t="s">
        <v>635</v>
      </c>
      <c r="H137" s="8" t="s">
        <v>832</v>
      </c>
      <c r="I137" s="5">
        <v>300745</v>
      </c>
      <c r="J137" s="5" t="s">
        <v>833</v>
      </c>
      <c r="K137" s="5" t="s">
        <v>834</v>
      </c>
    </row>
    <row r="138" spans="1:11">
      <c r="A138" s="1">
        <v>52</v>
      </c>
      <c r="B138" s="5" t="s">
        <v>837</v>
      </c>
      <c r="C138" s="5" t="s">
        <v>101</v>
      </c>
      <c r="D138" s="5" t="s">
        <v>246</v>
      </c>
      <c r="E138" s="6">
        <v>1091701310013</v>
      </c>
      <c r="F138" s="11" t="s">
        <v>838</v>
      </c>
      <c r="G138" s="5" t="s">
        <v>635</v>
      </c>
      <c r="H138" s="14" t="s">
        <v>839</v>
      </c>
      <c r="I138" s="5">
        <v>272815</v>
      </c>
      <c r="J138" s="5" t="s">
        <v>840</v>
      </c>
      <c r="K138" s="5" t="s">
        <v>841</v>
      </c>
    </row>
    <row r="139" spans="1:11" ht="90">
      <c r="A139" s="1">
        <v>53</v>
      </c>
      <c r="B139" s="5" t="s">
        <v>842</v>
      </c>
      <c r="C139" s="5" t="s">
        <v>347</v>
      </c>
      <c r="D139" s="5" t="s">
        <v>107</v>
      </c>
      <c r="E139" s="6">
        <v>1004310020016</v>
      </c>
      <c r="F139" s="11" t="s">
        <v>843</v>
      </c>
      <c r="G139" s="5" t="s">
        <v>635</v>
      </c>
      <c r="H139" s="8" t="s">
        <v>844</v>
      </c>
      <c r="I139" s="5">
        <v>272839</v>
      </c>
      <c r="J139" s="5" t="s">
        <v>720</v>
      </c>
      <c r="K139" s="5" t="s">
        <v>845</v>
      </c>
    </row>
    <row r="140" spans="1:11" ht="90">
      <c r="B140" s="5" t="s">
        <v>842</v>
      </c>
      <c r="C140" s="5" t="s">
        <v>347</v>
      </c>
      <c r="D140" s="5" t="s">
        <v>107</v>
      </c>
      <c r="E140" s="6">
        <v>1004310020032</v>
      </c>
      <c r="F140" s="7" t="s">
        <v>846</v>
      </c>
      <c r="G140" s="5" t="s">
        <v>635</v>
      </c>
      <c r="H140" s="8" t="s">
        <v>844</v>
      </c>
      <c r="I140" s="5">
        <v>272839</v>
      </c>
      <c r="J140" s="5" t="s">
        <v>720</v>
      </c>
      <c r="K140" s="5"/>
    </row>
    <row r="141" spans="1:11" ht="90">
      <c r="B141" s="5" t="s">
        <v>842</v>
      </c>
      <c r="C141" s="5" t="s">
        <v>347</v>
      </c>
      <c r="D141" s="5" t="s">
        <v>107</v>
      </c>
      <c r="E141" s="6">
        <v>1004310020032</v>
      </c>
      <c r="F141" s="11" t="s">
        <v>846</v>
      </c>
      <c r="G141" s="5" t="s">
        <v>635</v>
      </c>
      <c r="H141" s="8" t="s">
        <v>844</v>
      </c>
      <c r="I141" s="5">
        <v>272839</v>
      </c>
      <c r="J141" s="5" t="s">
        <v>720</v>
      </c>
      <c r="K141" s="5"/>
    </row>
    <row r="142" spans="1:11" ht="90">
      <c r="B142" s="5" t="s">
        <v>842</v>
      </c>
      <c r="C142" s="5" t="s">
        <v>347</v>
      </c>
      <c r="D142" s="5" t="s">
        <v>107</v>
      </c>
      <c r="E142" s="6">
        <v>1004704490038</v>
      </c>
      <c r="F142" s="7" t="s">
        <v>847</v>
      </c>
      <c r="G142" s="5" t="s">
        <v>635</v>
      </c>
      <c r="H142" s="8" t="s">
        <v>844</v>
      </c>
      <c r="I142" s="5">
        <v>272839</v>
      </c>
      <c r="J142" s="5" t="s">
        <v>720</v>
      </c>
      <c r="K142" s="5"/>
    </row>
    <row r="143" spans="1:11" ht="90">
      <c r="B143" s="5" t="s">
        <v>842</v>
      </c>
      <c r="C143" s="5" t="s">
        <v>347</v>
      </c>
      <c r="D143" s="5" t="s">
        <v>107</v>
      </c>
      <c r="E143" s="6">
        <v>1004704490046</v>
      </c>
      <c r="F143" s="11" t="s">
        <v>848</v>
      </c>
      <c r="G143" s="5" t="s">
        <v>635</v>
      </c>
      <c r="H143" s="8" t="s">
        <v>844</v>
      </c>
      <c r="I143" s="5">
        <v>272839</v>
      </c>
      <c r="J143" s="5" t="s">
        <v>720</v>
      </c>
      <c r="K143" s="5"/>
    </row>
    <row r="144" spans="1:11" ht="90">
      <c r="B144" s="5" t="s">
        <v>842</v>
      </c>
      <c r="C144" s="5" t="s">
        <v>347</v>
      </c>
      <c r="D144" s="5" t="s">
        <v>107</v>
      </c>
      <c r="E144" s="6">
        <v>1006302790084</v>
      </c>
      <c r="F144" s="7" t="s">
        <v>849</v>
      </c>
      <c r="G144" s="5" t="s">
        <v>635</v>
      </c>
      <c r="H144" s="8" t="s">
        <v>844</v>
      </c>
      <c r="I144" s="5">
        <v>272839</v>
      </c>
      <c r="J144" s="5" t="s">
        <v>720</v>
      </c>
      <c r="K144" s="5"/>
    </row>
    <row r="145" spans="2:11" ht="90">
      <c r="B145" s="5" t="s">
        <v>842</v>
      </c>
      <c r="C145" s="5" t="s">
        <v>347</v>
      </c>
      <c r="D145" s="5" t="s">
        <v>107</v>
      </c>
      <c r="E145" s="6">
        <v>1006811610033</v>
      </c>
      <c r="F145" s="11" t="s">
        <v>847</v>
      </c>
      <c r="G145" s="5" t="s">
        <v>635</v>
      </c>
      <c r="H145" s="8" t="s">
        <v>844</v>
      </c>
      <c r="I145" s="5">
        <v>272839</v>
      </c>
      <c r="J145" s="5" t="s">
        <v>720</v>
      </c>
      <c r="K145" s="5"/>
    </row>
    <row r="146" spans="2:11" ht="90">
      <c r="B146" s="5" t="s">
        <v>842</v>
      </c>
      <c r="C146" s="5" t="s">
        <v>347</v>
      </c>
      <c r="D146" s="5" t="s">
        <v>107</v>
      </c>
      <c r="E146" s="6">
        <v>1008903490022</v>
      </c>
      <c r="F146" s="7" t="s">
        <v>850</v>
      </c>
      <c r="G146" s="5" t="s">
        <v>635</v>
      </c>
      <c r="H146" s="8" t="s">
        <v>844</v>
      </c>
      <c r="I146" s="5">
        <v>272839</v>
      </c>
      <c r="J146" s="5" t="s">
        <v>720</v>
      </c>
      <c r="K146" s="5"/>
    </row>
    <row r="147" spans="2:11" ht="90">
      <c r="B147" s="5" t="s">
        <v>842</v>
      </c>
      <c r="C147" s="5" t="s">
        <v>347</v>
      </c>
      <c r="D147" s="5" t="s">
        <v>107</v>
      </c>
      <c r="E147" s="6">
        <v>1029802000073</v>
      </c>
      <c r="F147" s="11" t="s">
        <v>851</v>
      </c>
      <c r="G147" s="5" t="s">
        <v>635</v>
      </c>
      <c r="H147" s="8" t="s">
        <v>844</v>
      </c>
      <c r="I147" s="5">
        <v>272839</v>
      </c>
      <c r="J147" s="5" t="s">
        <v>720</v>
      </c>
      <c r="K147" s="5"/>
    </row>
    <row r="148" spans="2:11" ht="90">
      <c r="B148" s="5" t="s">
        <v>842</v>
      </c>
      <c r="C148" s="5" t="s">
        <v>347</v>
      </c>
      <c r="D148" s="5" t="s">
        <v>107</v>
      </c>
      <c r="E148" s="6">
        <v>1029802000081</v>
      </c>
      <c r="F148" s="7" t="s">
        <v>852</v>
      </c>
      <c r="G148" s="5" t="s">
        <v>635</v>
      </c>
      <c r="H148" s="8" t="s">
        <v>844</v>
      </c>
      <c r="I148" s="5">
        <v>272839</v>
      </c>
      <c r="J148" s="5" t="s">
        <v>720</v>
      </c>
      <c r="K148" s="5"/>
    </row>
    <row r="149" spans="2:11" ht="90">
      <c r="B149" s="5" t="s">
        <v>842</v>
      </c>
      <c r="C149" s="5" t="s">
        <v>347</v>
      </c>
      <c r="D149" s="5" t="s">
        <v>107</v>
      </c>
      <c r="E149" s="6">
        <v>1029802000111</v>
      </c>
      <c r="F149" s="11" t="s">
        <v>849</v>
      </c>
      <c r="G149" s="5" t="s">
        <v>635</v>
      </c>
      <c r="H149" s="8" t="s">
        <v>844</v>
      </c>
      <c r="I149" s="5">
        <v>272839</v>
      </c>
      <c r="J149" s="5" t="s">
        <v>720</v>
      </c>
      <c r="K149" s="5"/>
    </row>
    <row r="150" spans="2:11" ht="90">
      <c r="B150" s="5" t="s">
        <v>842</v>
      </c>
      <c r="C150" s="5" t="s">
        <v>347</v>
      </c>
      <c r="D150" s="5" t="s">
        <v>107</v>
      </c>
      <c r="E150" s="6">
        <v>1029802000162</v>
      </c>
      <c r="F150" s="7" t="s">
        <v>853</v>
      </c>
      <c r="G150" s="5" t="s">
        <v>635</v>
      </c>
      <c r="H150" s="8" t="s">
        <v>844</v>
      </c>
      <c r="I150" s="5">
        <v>272839</v>
      </c>
      <c r="J150" s="5" t="s">
        <v>720</v>
      </c>
      <c r="K150" s="5"/>
    </row>
    <row r="151" spans="2:11" ht="90">
      <c r="B151" s="5" t="s">
        <v>842</v>
      </c>
      <c r="C151" s="5" t="s">
        <v>347</v>
      </c>
      <c r="D151" s="5" t="s">
        <v>107</v>
      </c>
      <c r="E151" s="6">
        <v>1037006190035</v>
      </c>
      <c r="F151" s="11" t="s">
        <v>850</v>
      </c>
      <c r="G151" s="5" t="s">
        <v>635</v>
      </c>
      <c r="H151" s="8" t="s">
        <v>844</v>
      </c>
      <c r="I151" s="5">
        <v>272839</v>
      </c>
      <c r="J151" s="5" t="s">
        <v>720</v>
      </c>
      <c r="K151" s="5"/>
    </row>
    <row r="152" spans="2:11" ht="90">
      <c r="B152" s="5" t="s">
        <v>842</v>
      </c>
      <c r="C152" s="5" t="s">
        <v>347</v>
      </c>
      <c r="D152" s="5" t="s">
        <v>107</v>
      </c>
      <c r="E152" s="6">
        <v>1039201970032</v>
      </c>
      <c r="F152" s="7" t="s">
        <v>850</v>
      </c>
      <c r="G152" s="5" t="s">
        <v>635</v>
      </c>
      <c r="H152" s="8" t="s">
        <v>844</v>
      </c>
      <c r="I152" s="5">
        <v>272839</v>
      </c>
      <c r="J152" s="5" t="s">
        <v>720</v>
      </c>
      <c r="K152" s="5"/>
    </row>
    <row r="153" spans="2:11" ht="90">
      <c r="B153" s="5" t="s">
        <v>842</v>
      </c>
      <c r="C153" s="5" t="s">
        <v>347</v>
      </c>
      <c r="D153" s="5" t="s">
        <v>107</v>
      </c>
      <c r="E153" s="6">
        <v>1049711340054</v>
      </c>
      <c r="F153" s="11" t="s">
        <v>846</v>
      </c>
      <c r="G153" s="5" t="s">
        <v>635</v>
      </c>
      <c r="H153" s="8" t="s">
        <v>844</v>
      </c>
      <c r="I153" s="5">
        <v>272839</v>
      </c>
      <c r="J153" s="5" t="s">
        <v>720</v>
      </c>
      <c r="K153" s="5"/>
    </row>
    <row r="154" spans="2:11" ht="90">
      <c r="B154" s="5" t="s">
        <v>842</v>
      </c>
      <c r="C154" s="5" t="s">
        <v>347</v>
      </c>
      <c r="D154" s="5" t="s">
        <v>107</v>
      </c>
      <c r="E154" s="6">
        <v>1049711340054</v>
      </c>
      <c r="F154" s="7" t="s">
        <v>846</v>
      </c>
      <c r="G154" s="5" t="s">
        <v>635</v>
      </c>
      <c r="H154" s="8" t="s">
        <v>844</v>
      </c>
      <c r="I154" s="5">
        <v>272839</v>
      </c>
      <c r="J154" s="5" t="s">
        <v>720</v>
      </c>
      <c r="K154" s="5"/>
    </row>
    <row r="155" spans="2:11" ht="90">
      <c r="B155" s="5" t="s">
        <v>842</v>
      </c>
      <c r="C155" s="5" t="s">
        <v>347</v>
      </c>
      <c r="D155" s="5" t="s">
        <v>107</v>
      </c>
      <c r="E155" s="6">
        <v>1053502270035</v>
      </c>
      <c r="F155" s="11" t="s">
        <v>846</v>
      </c>
      <c r="G155" s="5" t="s">
        <v>635</v>
      </c>
      <c r="H155" s="8" t="s">
        <v>844</v>
      </c>
      <c r="I155" s="5">
        <v>272839</v>
      </c>
      <c r="J155" s="5" t="s">
        <v>720</v>
      </c>
      <c r="K155" s="5"/>
    </row>
    <row r="156" spans="2:11" ht="90">
      <c r="B156" s="5" t="s">
        <v>842</v>
      </c>
      <c r="C156" s="5" t="s">
        <v>347</v>
      </c>
      <c r="D156" s="5" t="s">
        <v>107</v>
      </c>
      <c r="E156" s="6">
        <v>1053502270035</v>
      </c>
      <c r="F156" s="7" t="s">
        <v>846</v>
      </c>
      <c r="G156" s="5" t="s">
        <v>635</v>
      </c>
      <c r="H156" s="8" t="s">
        <v>844</v>
      </c>
      <c r="I156" s="5">
        <v>272839</v>
      </c>
      <c r="J156" s="5" t="s">
        <v>720</v>
      </c>
      <c r="K156" s="5"/>
    </row>
    <row r="157" spans="2:11" ht="90">
      <c r="B157" s="5" t="s">
        <v>842</v>
      </c>
      <c r="C157" s="5" t="s">
        <v>347</v>
      </c>
      <c r="D157" s="5" t="s">
        <v>107</v>
      </c>
      <c r="E157" s="6">
        <v>1057305390022</v>
      </c>
      <c r="F157" s="11" t="s">
        <v>854</v>
      </c>
      <c r="G157" s="5" t="s">
        <v>635</v>
      </c>
      <c r="H157" s="8" t="s">
        <v>844</v>
      </c>
      <c r="I157" s="5">
        <v>272839</v>
      </c>
      <c r="J157" s="5" t="s">
        <v>720</v>
      </c>
      <c r="K157" s="5"/>
    </row>
    <row r="158" spans="2:11" ht="90">
      <c r="B158" s="5" t="s">
        <v>842</v>
      </c>
      <c r="C158" s="5" t="s">
        <v>347</v>
      </c>
      <c r="D158" s="5" t="s">
        <v>107</v>
      </c>
      <c r="E158" s="6">
        <v>1057305390030</v>
      </c>
      <c r="F158" s="7" t="s">
        <v>850</v>
      </c>
      <c r="G158" s="5" t="s">
        <v>635</v>
      </c>
      <c r="H158" s="8" t="s">
        <v>844</v>
      </c>
      <c r="I158" s="5">
        <v>272839</v>
      </c>
      <c r="J158" s="5" t="s">
        <v>720</v>
      </c>
      <c r="K158" s="5"/>
    </row>
    <row r="159" spans="2:11" ht="90">
      <c r="B159" s="5" t="s">
        <v>842</v>
      </c>
      <c r="C159" s="5" t="s">
        <v>347</v>
      </c>
      <c r="D159" s="5" t="s">
        <v>107</v>
      </c>
      <c r="E159" s="6">
        <v>1057305990011</v>
      </c>
      <c r="F159" s="11" t="s">
        <v>855</v>
      </c>
      <c r="G159" s="5" t="s">
        <v>635</v>
      </c>
      <c r="H159" s="8" t="s">
        <v>844</v>
      </c>
      <c r="I159" s="5">
        <v>272839</v>
      </c>
      <c r="J159" s="5" t="s">
        <v>720</v>
      </c>
      <c r="K159" s="5"/>
    </row>
    <row r="160" spans="2:11" ht="90">
      <c r="B160" s="5" t="s">
        <v>842</v>
      </c>
      <c r="C160" s="5" t="s">
        <v>347</v>
      </c>
      <c r="D160" s="5" t="s">
        <v>107</v>
      </c>
      <c r="E160" s="6">
        <v>1057305390022</v>
      </c>
      <c r="F160" s="7" t="s">
        <v>854</v>
      </c>
      <c r="G160" s="5" t="s">
        <v>635</v>
      </c>
      <c r="H160" s="8" t="s">
        <v>844</v>
      </c>
      <c r="I160" s="5">
        <v>272839</v>
      </c>
      <c r="J160" s="5" t="s">
        <v>720</v>
      </c>
      <c r="K160" s="5"/>
    </row>
    <row r="161" spans="2:11" ht="90">
      <c r="B161" s="5" t="s">
        <v>842</v>
      </c>
      <c r="C161" s="5" t="s">
        <v>347</v>
      </c>
      <c r="D161" s="5" t="s">
        <v>107</v>
      </c>
      <c r="E161" s="6">
        <v>1057305390030</v>
      </c>
      <c r="F161" s="11" t="s">
        <v>850</v>
      </c>
      <c r="G161" s="5" t="s">
        <v>635</v>
      </c>
      <c r="H161" s="8" t="s">
        <v>844</v>
      </c>
      <c r="I161" s="5">
        <v>272839</v>
      </c>
      <c r="J161" s="5" t="s">
        <v>720</v>
      </c>
      <c r="K161" s="5"/>
    </row>
    <row r="162" spans="2:11" ht="90">
      <c r="B162" s="5" t="s">
        <v>842</v>
      </c>
      <c r="C162" s="5" t="s">
        <v>347</v>
      </c>
      <c r="D162" s="5" t="s">
        <v>107</v>
      </c>
      <c r="E162" s="6">
        <v>1057305990100</v>
      </c>
      <c r="F162" s="7" t="s">
        <v>856</v>
      </c>
      <c r="G162" s="5" t="s">
        <v>635</v>
      </c>
      <c r="H162" s="8" t="s">
        <v>844</v>
      </c>
      <c r="I162" s="5">
        <v>272839</v>
      </c>
      <c r="J162" s="5" t="s">
        <v>720</v>
      </c>
      <c r="K162" s="5"/>
    </row>
    <row r="163" spans="2:11" ht="90">
      <c r="B163" s="5" t="s">
        <v>842</v>
      </c>
      <c r="C163" s="5" t="s">
        <v>347</v>
      </c>
      <c r="D163" s="5" t="s">
        <v>107</v>
      </c>
      <c r="E163" s="6">
        <v>1097402920031</v>
      </c>
      <c r="F163" s="11" t="s">
        <v>857</v>
      </c>
      <c r="G163" s="5" t="s">
        <v>635</v>
      </c>
      <c r="H163" s="8" t="s">
        <v>844</v>
      </c>
      <c r="I163" s="5">
        <v>272839</v>
      </c>
      <c r="J163" s="5" t="s">
        <v>720</v>
      </c>
      <c r="K163" s="5"/>
    </row>
    <row r="164" spans="2:11" ht="90">
      <c r="B164" s="5" t="s">
        <v>842</v>
      </c>
      <c r="C164" s="5" t="s">
        <v>347</v>
      </c>
      <c r="D164" s="5" t="s">
        <v>107</v>
      </c>
      <c r="E164" s="6">
        <v>1123600310028</v>
      </c>
      <c r="F164" s="7" t="s">
        <v>854</v>
      </c>
      <c r="G164" s="5" t="s">
        <v>635</v>
      </c>
      <c r="H164" s="8" t="s">
        <v>844</v>
      </c>
      <c r="I164" s="5">
        <v>272839</v>
      </c>
      <c r="J164" s="5" t="s">
        <v>720</v>
      </c>
      <c r="K164" s="5"/>
    </row>
    <row r="165" spans="2:11" ht="90">
      <c r="B165" s="5" t="s">
        <v>842</v>
      </c>
      <c r="C165" s="5" t="s">
        <v>347</v>
      </c>
      <c r="D165" s="5" t="s">
        <v>107</v>
      </c>
      <c r="E165" s="6">
        <v>1235202100139</v>
      </c>
      <c r="F165" s="11" t="s">
        <v>858</v>
      </c>
      <c r="G165" s="5" t="s">
        <v>635</v>
      </c>
      <c r="H165" s="8" t="s">
        <v>844</v>
      </c>
      <c r="I165" s="5">
        <v>272839</v>
      </c>
      <c r="J165" s="5" t="s">
        <v>720</v>
      </c>
      <c r="K165" s="5"/>
    </row>
    <row r="166" spans="2:11" ht="90">
      <c r="B166" s="5" t="s">
        <v>842</v>
      </c>
      <c r="C166" s="5" t="s">
        <v>347</v>
      </c>
      <c r="D166" s="5" t="s">
        <v>107</v>
      </c>
      <c r="E166" s="6">
        <v>1256802690053</v>
      </c>
      <c r="F166" s="7" t="s">
        <v>859</v>
      </c>
      <c r="G166" s="5" t="s">
        <v>635</v>
      </c>
      <c r="H166" s="8" t="s">
        <v>844</v>
      </c>
      <c r="I166" s="5">
        <v>272839</v>
      </c>
      <c r="J166" s="5" t="s">
        <v>720</v>
      </c>
      <c r="K166" s="5"/>
    </row>
    <row r="167" spans="2:11" ht="90">
      <c r="B167" s="5" t="s">
        <v>842</v>
      </c>
      <c r="C167" s="5" t="s">
        <v>347</v>
      </c>
      <c r="D167" s="5" t="s">
        <v>107</v>
      </c>
      <c r="E167" s="6">
        <v>1256802690071</v>
      </c>
      <c r="F167" s="11" t="s">
        <v>860</v>
      </c>
      <c r="G167" s="5" t="s">
        <v>635</v>
      </c>
      <c r="H167" s="8" t="s">
        <v>844</v>
      </c>
      <c r="I167" s="5">
        <v>272839</v>
      </c>
      <c r="J167" s="5" t="s">
        <v>720</v>
      </c>
      <c r="K167" s="5"/>
    </row>
    <row r="168" spans="2:11" ht="90">
      <c r="B168" s="5" t="s">
        <v>842</v>
      </c>
      <c r="C168" s="5" t="s">
        <v>347</v>
      </c>
      <c r="D168" s="5" t="s">
        <v>107</v>
      </c>
      <c r="E168" s="6">
        <v>1256802910010</v>
      </c>
      <c r="F168" s="7" t="s">
        <v>861</v>
      </c>
      <c r="G168" s="5" t="s">
        <v>635</v>
      </c>
      <c r="H168" s="8" t="s">
        <v>844</v>
      </c>
      <c r="I168" s="5">
        <v>272839</v>
      </c>
      <c r="J168" s="5" t="s">
        <v>720</v>
      </c>
      <c r="K168" s="5"/>
    </row>
    <row r="169" spans="2:11" ht="90">
      <c r="B169" s="5" t="s">
        <v>842</v>
      </c>
      <c r="C169" s="5" t="s">
        <v>347</v>
      </c>
      <c r="D169" s="5" t="s">
        <v>107</v>
      </c>
      <c r="E169" s="6">
        <v>1256802910037</v>
      </c>
      <c r="F169" s="11" t="s">
        <v>862</v>
      </c>
      <c r="G169" s="5" t="s">
        <v>635</v>
      </c>
      <c r="H169" s="8" t="s">
        <v>844</v>
      </c>
      <c r="I169" s="5">
        <v>272839</v>
      </c>
      <c r="J169" s="5" t="s">
        <v>720</v>
      </c>
      <c r="K169" s="5"/>
    </row>
    <row r="170" spans="2:11" ht="90">
      <c r="B170" s="5" t="s">
        <v>842</v>
      </c>
      <c r="C170" s="5" t="s">
        <v>347</v>
      </c>
      <c r="D170" s="5" t="s">
        <v>107</v>
      </c>
      <c r="E170" s="6">
        <v>1256802910071</v>
      </c>
      <c r="F170" s="7" t="s">
        <v>863</v>
      </c>
      <c r="G170" s="5" t="s">
        <v>635</v>
      </c>
      <c r="H170" s="8" t="s">
        <v>844</v>
      </c>
      <c r="I170" s="5">
        <v>272839</v>
      </c>
      <c r="J170" s="5" t="s">
        <v>720</v>
      </c>
      <c r="K170" s="5"/>
    </row>
    <row r="171" spans="2:11" ht="90">
      <c r="B171" s="5" t="s">
        <v>842</v>
      </c>
      <c r="C171" s="5" t="s">
        <v>347</v>
      </c>
      <c r="D171" s="5" t="s">
        <v>107</v>
      </c>
      <c r="E171" s="6">
        <v>1410706400036</v>
      </c>
      <c r="F171" s="11" t="s">
        <v>850</v>
      </c>
      <c r="G171" s="5" t="s">
        <v>635</v>
      </c>
      <c r="H171" s="8" t="s">
        <v>844</v>
      </c>
      <c r="I171" s="5">
        <v>272839</v>
      </c>
      <c r="J171" s="5" t="s">
        <v>720</v>
      </c>
      <c r="K171" s="5"/>
    </row>
    <row r="172" spans="2:11" ht="90">
      <c r="B172" s="5" t="s">
        <v>842</v>
      </c>
      <c r="C172" s="5" t="s">
        <v>347</v>
      </c>
      <c r="D172" s="5" t="s">
        <v>107</v>
      </c>
      <c r="E172" s="6">
        <v>1542302830033</v>
      </c>
      <c r="F172" s="7" t="s">
        <v>846</v>
      </c>
      <c r="G172" s="5" t="s">
        <v>635</v>
      </c>
      <c r="H172" s="8" t="s">
        <v>844</v>
      </c>
      <c r="I172" s="5">
        <v>272839</v>
      </c>
      <c r="J172" s="5" t="s">
        <v>720</v>
      </c>
      <c r="K172" s="5"/>
    </row>
    <row r="173" spans="2:11" ht="90">
      <c r="B173" s="5" t="s">
        <v>842</v>
      </c>
      <c r="C173" s="5" t="s">
        <v>347</v>
      </c>
      <c r="D173" s="5" t="s">
        <v>107</v>
      </c>
      <c r="E173" s="6">
        <v>1553700270033</v>
      </c>
      <c r="F173" s="11" t="s">
        <v>850</v>
      </c>
      <c r="G173" s="5" t="s">
        <v>635</v>
      </c>
      <c r="H173" s="8" t="s">
        <v>844</v>
      </c>
      <c r="I173" s="5">
        <v>272839</v>
      </c>
      <c r="J173" s="5" t="s">
        <v>720</v>
      </c>
      <c r="K173" s="5"/>
    </row>
    <row r="174" spans="2:11" ht="90">
      <c r="B174" s="5" t="s">
        <v>842</v>
      </c>
      <c r="C174" s="5" t="s">
        <v>347</v>
      </c>
      <c r="D174" s="5" t="s">
        <v>107</v>
      </c>
      <c r="E174" s="6">
        <v>1553700270041</v>
      </c>
      <c r="F174" s="7" t="s">
        <v>864</v>
      </c>
      <c r="G174" s="5" t="s">
        <v>635</v>
      </c>
      <c r="H174" s="8" t="s">
        <v>844</v>
      </c>
      <c r="I174" s="5">
        <v>272839</v>
      </c>
      <c r="J174" s="5" t="s">
        <v>720</v>
      </c>
      <c r="K174" s="5"/>
    </row>
    <row r="175" spans="2:11" ht="90">
      <c r="B175" s="5" t="s">
        <v>842</v>
      </c>
      <c r="C175" s="5" t="s">
        <v>347</v>
      </c>
      <c r="D175" s="5" t="s">
        <v>107</v>
      </c>
      <c r="E175" s="6">
        <v>1832602840028</v>
      </c>
      <c r="F175" s="11" t="s">
        <v>850</v>
      </c>
      <c r="G175" s="5" t="s">
        <v>635</v>
      </c>
      <c r="H175" s="8" t="s">
        <v>844</v>
      </c>
      <c r="I175" s="5">
        <v>272839</v>
      </c>
      <c r="J175" s="5" t="s">
        <v>720</v>
      </c>
      <c r="K175" s="5"/>
    </row>
    <row r="176" spans="2:11" ht="90">
      <c r="B176" s="5" t="s">
        <v>842</v>
      </c>
      <c r="C176" s="5" t="s">
        <v>347</v>
      </c>
      <c r="D176" s="5" t="s">
        <v>107</v>
      </c>
      <c r="E176" s="6">
        <v>1832604780014</v>
      </c>
      <c r="F176" s="7" t="s">
        <v>846</v>
      </c>
      <c r="G176" s="5" t="s">
        <v>635</v>
      </c>
      <c r="H176" s="8" t="s">
        <v>844</v>
      </c>
      <c r="I176" s="5">
        <v>272839</v>
      </c>
      <c r="J176" s="5" t="s">
        <v>720</v>
      </c>
      <c r="K176" s="5"/>
    </row>
    <row r="177" spans="1:11" ht="90">
      <c r="A177" s="1">
        <v>54</v>
      </c>
      <c r="B177" s="5" t="s">
        <v>842</v>
      </c>
      <c r="C177" s="5" t="s">
        <v>153</v>
      </c>
      <c r="D177" s="5" t="s">
        <v>451</v>
      </c>
      <c r="E177" s="6">
        <v>1023508240012</v>
      </c>
      <c r="F177" s="11" t="s">
        <v>865</v>
      </c>
      <c r="G177" s="5" t="s">
        <v>635</v>
      </c>
      <c r="H177" s="8" t="s">
        <v>844</v>
      </c>
      <c r="I177" s="5">
        <v>284106</v>
      </c>
      <c r="J177" s="5" t="s">
        <v>720</v>
      </c>
      <c r="K177" s="5" t="s">
        <v>845</v>
      </c>
    </row>
    <row r="178" spans="1:11" ht="90">
      <c r="B178" s="5" t="s">
        <v>842</v>
      </c>
      <c r="C178" s="5" t="s">
        <v>153</v>
      </c>
      <c r="D178" s="5" t="s">
        <v>451</v>
      </c>
      <c r="E178" s="6">
        <v>1029802000146</v>
      </c>
      <c r="F178" s="7" t="s">
        <v>866</v>
      </c>
      <c r="G178" s="5" t="s">
        <v>635</v>
      </c>
      <c r="H178" s="8" t="s">
        <v>844</v>
      </c>
      <c r="I178" s="5">
        <v>284106</v>
      </c>
      <c r="J178" s="5" t="s">
        <v>720</v>
      </c>
      <c r="K178" s="5"/>
    </row>
    <row r="179" spans="1:11" ht="90">
      <c r="B179" s="5" t="s">
        <v>842</v>
      </c>
      <c r="C179" s="5" t="s">
        <v>153</v>
      </c>
      <c r="D179" s="5" t="s">
        <v>451</v>
      </c>
      <c r="E179" s="6">
        <v>1029802000154</v>
      </c>
      <c r="F179" s="11" t="s">
        <v>867</v>
      </c>
      <c r="G179" s="5" t="s">
        <v>635</v>
      </c>
      <c r="H179" s="8" t="s">
        <v>844</v>
      </c>
      <c r="I179" s="5">
        <v>284106</v>
      </c>
      <c r="J179" s="5" t="s">
        <v>720</v>
      </c>
      <c r="K179" s="5"/>
    </row>
    <row r="180" spans="1:11" ht="90">
      <c r="B180" s="5" t="s">
        <v>842</v>
      </c>
      <c r="C180" s="5" t="s">
        <v>153</v>
      </c>
      <c r="D180" s="5" t="s">
        <v>451</v>
      </c>
      <c r="E180" s="6">
        <v>1029802000197</v>
      </c>
      <c r="F180" s="7" t="s">
        <v>868</v>
      </c>
      <c r="G180" s="5" t="s">
        <v>635</v>
      </c>
      <c r="H180" s="8" t="s">
        <v>844</v>
      </c>
      <c r="I180" s="5">
        <v>284106</v>
      </c>
      <c r="J180" s="5" t="s">
        <v>720</v>
      </c>
      <c r="K180" s="5"/>
    </row>
    <row r="181" spans="1:11" ht="90">
      <c r="B181" s="5" t="s">
        <v>842</v>
      </c>
      <c r="C181" s="5" t="s">
        <v>153</v>
      </c>
      <c r="D181" s="5" t="s">
        <v>451</v>
      </c>
      <c r="E181" s="6">
        <v>1058305320014</v>
      </c>
      <c r="F181" s="11" t="s">
        <v>866</v>
      </c>
      <c r="G181" s="5" t="s">
        <v>635</v>
      </c>
      <c r="H181" s="8" t="s">
        <v>844</v>
      </c>
      <c r="I181" s="5">
        <v>284106</v>
      </c>
      <c r="J181" s="5" t="s">
        <v>720</v>
      </c>
      <c r="K181" s="5"/>
    </row>
    <row r="182" spans="1:11" ht="90">
      <c r="B182" s="5" t="s">
        <v>842</v>
      </c>
      <c r="C182" s="5" t="s">
        <v>153</v>
      </c>
      <c r="D182" s="5" t="s">
        <v>451</v>
      </c>
      <c r="E182" s="6">
        <v>1123600310141</v>
      </c>
      <c r="F182" s="7" t="s">
        <v>869</v>
      </c>
      <c r="G182" s="5" t="s">
        <v>635</v>
      </c>
      <c r="H182" s="8" t="s">
        <v>844</v>
      </c>
      <c r="I182" s="5">
        <v>284106</v>
      </c>
      <c r="J182" s="5" t="s">
        <v>720</v>
      </c>
      <c r="K182" s="5"/>
    </row>
    <row r="183" spans="1:11" ht="90">
      <c r="B183" s="5" t="s">
        <v>842</v>
      </c>
      <c r="C183" s="5" t="s">
        <v>153</v>
      </c>
      <c r="D183" s="5" t="s">
        <v>451</v>
      </c>
      <c r="E183" s="6">
        <v>1181904040011</v>
      </c>
      <c r="F183" s="11" t="s">
        <v>865</v>
      </c>
      <c r="G183" s="5" t="s">
        <v>635</v>
      </c>
      <c r="H183" s="8" t="s">
        <v>844</v>
      </c>
      <c r="I183" s="5">
        <v>284106</v>
      </c>
      <c r="J183" s="5" t="s">
        <v>720</v>
      </c>
      <c r="K183" s="5"/>
    </row>
    <row r="184" spans="1:11" ht="90">
      <c r="B184" s="5" t="s">
        <v>842</v>
      </c>
      <c r="C184" s="5" t="s">
        <v>153</v>
      </c>
      <c r="D184" s="5" t="s">
        <v>451</v>
      </c>
      <c r="E184" s="6">
        <v>1256802320035</v>
      </c>
      <c r="F184" s="7" t="s">
        <v>870</v>
      </c>
      <c r="G184" s="5" t="s">
        <v>635</v>
      </c>
      <c r="H184" s="8" t="s">
        <v>844</v>
      </c>
      <c r="I184" s="5">
        <v>284106</v>
      </c>
      <c r="J184" s="5" t="s">
        <v>720</v>
      </c>
      <c r="K184" s="5"/>
    </row>
    <row r="185" spans="1:11" ht="90">
      <c r="B185" s="5" t="s">
        <v>842</v>
      </c>
      <c r="C185" s="5" t="s">
        <v>153</v>
      </c>
      <c r="D185" s="5" t="s">
        <v>451</v>
      </c>
      <c r="E185" s="6">
        <v>1256802320078</v>
      </c>
      <c r="F185" s="11" t="s">
        <v>871</v>
      </c>
      <c r="G185" s="5" t="s">
        <v>635</v>
      </c>
      <c r="H185" s="8" t="s">
        <v>844</v>
      </c>
      <c r="I185" s="5">
        <v>284106</v>
      </c>
      <c r="J185" s="5" t="s">
        <v>720</v>
      </c>
      <c r="K185" s="5"/>
    </row>
    <row r="186" spans="1:11" ht="90">
      <c r="B186" s="5" t="s">
        <v>842</v>
      </c>
      <c r="C186" s="5" t="s">
        <v>153</v>
      </c>
      <c r="D186" s="5" t="s">
        <v>451</v>
      </c>
      <c r="E186" s="6">
        <v>1256802920016</v>
      </c>
      <c r="F186" s="7" t="s">
        <v>872</v>
      </c>
      <c r="G186" s="5" t="s">
        <v>635</v>
      </c>
      <c r="H186" s="8" t="s">
        <v>844</v>
      </c>
      <c r="I186" s="5">
        <v>284106</v>
      </c>
      <c r="J186" s="5" t="s">
        <v>720</v>
      </c>
      <c r="K186" s="5"/>
    </row>
    <row r="187" spans="1:11" ht="90">
      <c r="B187" s="5" t="s">
        <v>842</v>
      </c>
      <c r="C187" s="5" t="s">
        <v>153</v>
      </c>
      <c r="D187" s="5" t="s">
        <v>451</v>
      </c>
      <c r="E187" s="6">
        <v>1256802920024</v>
      </c>
      <c r="F187" s="11" t="s">
        <v>873</v>
      </c>
      <c r="G187" s="5" t="s">
        <v>635</v>
      </c>
      <c r="H187" s="8" t="s">
        <v>844</v>
      </c>
      <c r="I187" s="5">
        <v>284106</v>
      </c>
      <c r="J187" s="5" t="s">
        <v>720</v>
      </c>
      <c r="K187" s="5"/>
    </row>
    <row r="188" spans="1:11" ht="90">
      <c r="B188" s="5" t="s">
        <v>842</v>
      </c>
      <c r="C188" s="5" t="s">
        <v>153</v>
      </c>
      <c r="D188" s="5" t="s">
        <v>451</v>
      </c>
      <c r="E188" s="6">
        <v>1256802320035</v>
      </c>
      <c r="F188" s="7" t="s">
        <v>870</v>
      </c>
      <c r="G188" s="5" t="s">
        <v>635</v>
      </c>
      <c r="H188" s="8" t="s">
        <v>844</v>
      </c>
      <c r="I188" s="5">
        <v>284106</v>
      </c>
      <c r="J188" s="5" t="s">
        <v>720</v>
      </c>
      <c r="K188" s="5"/>
    </row>
    <row r="189" spans="1:11" ht="90">
      <c r="B189" s="5" t="s">
        <v>842</v>
      </c>
      <c r="C189" s="5" t="s">
        <v>153</v>
      </c>
      <c r="D189" s="5" t="s">
        <v>451</v>
      </c>
      <c r="E189" s="6">
        <v>1256802920040</v>
      </c>
      <c r="F189" s="11" t="s">
        <v>874</v>
      </c>
      <c r="G189" s="5" t="s">
        <v>635</v>
      </c>
      <c r="H189" s="8" t="s">
        <v>844</v>
      </c>
      <c r="I189" s="5">
        <v>284106</v>
      </c>
      <c r="J189" s="5" t="s">
        <v>720</v>
      </c>
      <c r="K189" s="5"/>
    </row>
    <row r="190" spans="1:11" ht="90">
      <c r="B190" s="5" t="s">
        <v>842</v>
      </c>
      <c r="C190" s="5" t="s">
        <v>153</v>
      </c>
      <c r="D190" s="5" t="s">
        <v>451</v>
      </c>
      <c r="E190" s="6">
        <v>1256802920059</v>
      </c>
      <c r="F190" s="7" t="s">
        <v>875</v>
      </c>
      <c r="G190" s="5" t="s">
        <v>635</v>
      </c>
      <c r="H190" s="8" t="s">
        <v>844</v>
      </c>
      <c r="I190" s="5">
        <v>284106</v>
      </c>
      <c r="J190" s="5" t="s">
        <v>720</v>
      </c>
      <c r="K190" s="5"/>
    </row>
    <row r="191" spans="1:11" ht="90">
      <c r="B191" s="5" t="s">
        <v>842</v>
      </c>
      <c r="C191" s="5" t="s">
        <v>153</v>
      </c>
      <c r="D191" s="5" t="s">
        <v>451</v>
      </c>
      <c r="E191" s="6">
        <v>1256802920067</v>
      </c>
      <c r="F191" s="11" t="s">
        <v>876</v>
      </c>
      <c r="G191" s="5" t="s">
        <v>635</v>
      </c>
      <c r="H191" s="8" t="s">
        <v>844</v>
      </c>
      <c r="I191" s="5">
        <v>284106</v>
      </c>
      <c r="J191" s="5" t="s">
        <v>720</v>
      </c>
      <c r="K191" s="5"/>
    </row>
    <row r="192" spans="1:11" ht="90">
      <c r="B192" s="5" t="s">
        <v>842</v>
      </c>
      <c r="C192" s="5" t="s">
        <v>153</v>
      </c>
      <c r="D192" s="5" t="s">
        <v>451</v>
      </c>
      <c r="E192" s="6">
        <v>1256802320078</v>
      </c>
      <c r="F192" s="7" t="s">
        <v>871</v>
      </c>
      <c r="G192" s="5" t="s">
        <v>635</v>
      </c>
      <c r="H192" s="8" t="s">
        <v>844</v>
      </c>
      <c r="I192" s="5">
        <v>284106</v>
      </c>
      <c r="J192" s="5" t="s">
        <v>720</v>
      </c>
      <c r="K192" s="5"/>
    </row>
    <row r="193" spans="1:11" ht="90">
      <c r="B193" s="5" t="s">
        <v>842</v>
      </c>
      <c r="C193" s="5" t="s">
        <v>153</v>
      </c>
      <c r="D193" s="5" t="s">
        <v>451</v>
      </c>
      <c r="E193" s="6">
        <v>1256802920067</v>
      </c>
      <c r="F193" s="11" t="s">
        <v>876</v>
      </c>
      <c r="G193" s="5" t="s">
        <v>635</v>
      </c>
      <c r="H193" s="8" t="s">
        <v>844</v>
      </c>
      <c r="I193" s="5">
        <v>284106</v>
      </c>
      <c r="J193" s="5" t="s">
        <v>720</v>
      </c>
      <c r="K193" s="5"/>
    </row>
    <row r="194" spans="1:11" ht="90">
      <c r="A194" s="1">
        <v>55</v>
      </c>
      <c r="B194" s="5" t="s">
        <v>842</v>
      </c>
      <c r="C194" s="5" t="s">
        <v>214</v>
      </c>
      <c r="D194" s="5" t="s">
        <v>107</v>
      </c>
      <c r="E194" s="6">
        <v>1029802000170</v>
      </c>
      <c r="F194" s="7" t="s">
        <v>877</v>
      </c>
      <c r="G194" s="5" t="s">
        <v>635</v>
      </c>
      <c r="H194" s="8" t="s">
        <v>844</v>
      </c>
      <c r="I194" s="5">
        <v>268149</v>
      </c>
      <c r="J194" s="5" t="s">
        <v>720</v>
      </c>
      <c r="K194" s="5" t="s">
        <v>845</v>
      </c>
    </row>
    <row r="195" spans="1:11" ht="90">
      <c r="B195" s="5" t="s">
        <v>842</v>
      </c>
      <c r="C195" s="5" t="s">
        <v>214</v>
      </c>
      <c r="D195" s="5" t="s">
        <v>107</v>
      </c>
      <c r="E195" s="6">
        <v>1037006190078</v>
      </c>
      <c r="F195" s="11" t="s">
        <v>878</v>
      </c>
      <c r="G195" s="5" t="s">
        <v>635</v>
      </c>
      <c r="H195" s="8" t="s">
        <v>844</v>
      </c>
      <c r="I195" s="5">
        <v>268149</v>
      </c>
      <c r="J195" s="5" t="s">
        <v>720</v>
      </c>
      <c r="K195" s="5"/>
    </row>
    <row r="196" spans="1:11" ht="90">
      <c r="B196" s="5" t="s">
        <v>842</v>
      </c>
      <c r="C196" s="5" t="s">
        <v>214</v>
      </c>
      <c r="D196" s="5" t="s">
        <v>107</v>
      </c>
      <c r="E196" s="6">
        <v>1039201970075</v>
      </c>
      <c r="F196" s="7" t="s">
        <v>878</v>
      </c>
      <c r="G196" s="5" t="s">
        <v>635</v>
      </c>
      <c r="H196" s="8" t="s">
        <v>844</v>
      </c>
      <c r="I196" s="5">
        <v>268149</v>
      </c>
      <c r="J196" s="5" t="s">
        <v>720</v>
      </c>
      <c r="K196" s="5"/>
    </row>
    <row r="197" spans="1:11" ht="90">
      <c r="B197" s="5" t="s">
        <v>842</v>
      </c>
      <c r="C197" s="5" t="s">
        <v>214</v>
      </c>
      <c r="D197" s="5" t="s">
        <v>107</v>
      </c>
      <c r="E197" s="6">
        <v>1049711340070</v>
      </c>
      <c r="F197" s="11" t="s">
        <v>879</v>
      </c>
      <c r="G197" s="5" t="s">
        <v>635</v>
      </c>
      <c r="H197" s="8" t="s">
        <v>844</v>
      </c>
      <c r="I197" s="5">
        <v>268149</v>
      </c>
      <c r="J197" s="5" t="s">
        <v>720</v>
      </c>
      <c r="K197" s="5"/>
    </row>
    <row r="198" spans="1:11" ht="90">
      <c r="B198" s="5" t="s">
        <v>842</v>
      </c>
      <c r="C198" s="5" t="s">
        <v>214</v>
      </c>
      <c r="D198" s="5" t="s">
        <v>107</v>
      </c>
      <c r="E198" s="6">
        <v>1049711340070</v>
      </c>
      <c r="F198" s="7" t="s">
        <v>879</v>
      </c>
      <c r="G198" s="5" t="s">
        <v>635</v>
      </c>
      <c r="H198" s="8" t="s">
        <v>844</v>
      </c>
      <c r="I198" s="5">
        <v>268149</v>
      </c>
      <c r="J198" s="5" t="s">
        <v>720</v>
      </c>
      <c r="K198" s="5"/>
    </row>
    <row r="199" spans="1:11" ht="90">
      <c r="B199" s="5" t="s">
        <v>842</v>
      </c>
      <c r="C199" s="5" t="s">
        <v>214</v>
      </c>
      <c r="D199" s="5" t="s">
        <v>107</v>
      </c>
      <c r="E199" s="6">
        <v>1053502270061</v>
      </c>
      <c r="F199" s="11" t="s">
        <v>879</v>
      </c>
      <c r="G199" s="5" t="s">
        <v>635</v>
      </c>
      <c r="H199" s="8" t="s">
        <v>844</v>
      </c>
      <c r="I199" s="5">
        <v>268149</v>
      </c>
      <c r="J199" s="5" t="s">
        <v>720</v>
      </c>
      <c r="K199" s="5"/>
    </row>
    <row r="200" spans="1:11" ht="90">
      <c r="B200" s="5" t="s">
        <v>842</v>
      </c>
      <c r="C200" s="5" t="s">
        <v>214</v>
      </c>
      <c r="D200" s="5" t="s">
        <v>107</v>
      </c>
      <c r="E200" s="6">
        <v>1053502270061</v>
      </c>
      <c r="F200" s="7" t="s">
        <v>879</v>
      </c>
      <c r="G200" s="5" t="s">
        <v>635</v>
      </c>
      <c r="H200" s="8" t="s">
        <v>844</v>
      </c>
      <c r="I200" s="5">
        <v>268149</v>
      </c>
      <c r="J200" s="5" t="s">
        <v>720</v>
      </c>
      <c r="K200" s="5"/>
    </row>
    <row r="201" spans="1:11" ht="90">
      <c r="B201" s="5" t="s">
        <v>842</v>
      </c>
      <c r="C201" s="5" t="s">
        <v>214</v>
      </c>
      <c r="D201" s="5" t="s">
        <v>107</v>
      </c>
      <c r="E201" s="6">
        <v>1057305390073</v>
      </c>
      <c r="F201" s="11" t="s">
        <v>880</v>
      </c>
      <c r="G201" s="5" t="s">
        <v>635</v>
      </c>
      <c r="H201" s="8" t="s">
        <v>844</v>
      </c>
      <c r="I201" s="5">
        <v>268149</v>
      </c>
      <c r="J201" s="5" t="s">
        <v>720</v>
      </c>
      <c r="K201" s="5"/>
    </row>
    <row r="202" spans="1:11" ht="90">
      <c r="B202" s="5" t="s">
        <v>842</v>
      </c>
      <c r="C202" s="5" t="s">
        <v>214</v>
      </c>
      <c r="D202" s="5" t="s">
        <v>107</v>
      </c>
      <c r="E202" s="6">
        <v>1057305390081</v>
      </c>
      <c r="F202" s="7" t="s">
        <v>878</v>
      </c>
      <c r="G202" s="5" t="s">
        <v>635</v>
      </c>
      <c r="H202" s="8" t="s">
        <v>844</v>
      </c>
      <c r="I202" s="5">
        <v>268149</v>
      </c>
      <c r="J202" s="5" t="s">
        <v>720</v>
      </c>
      <c r="K202" s="5"/>
    </row>
    <row r="203" spans="1:11" ht="90">
      <c r="B203" s="5" t="s">
        <v>842</v>
      </c>
      <c r="C203" s="5" t="s">
        <v>214</v>
      </c>
      <c r="D203" s="5" t="s">
        <v>107</v>
      </c>
      <c r="E203" s="6">
        <v>1057305390073</v>
      </c>
      <c r="F203" s="11" t="s">
        <v>880</v>
      </c>
      <c r="G203" s="5" t="s">
        <v>635</v>
      </c>
      <c r="H203" s="8" t="s">
        <v>844</v>
      </c>
      <c r="I203" s="5">
        <v>268149</v>
      </c>
      <c r="J203" s="5" t="s">
        <v>720</v>
      </c>
      <c r="K203" s="5"/>
    </row>
    <row r="204" spans="1:11" ht="90">
      <c r="B204" s="5" t="s">
        <v>842</v>
      </c>
      <c r="C204" s="5" t="s">
        <v>214</v>
      </c>
      <c r="D204" s="5" t="s">
        <v>107</v>
      </c>
      <c r="E204" s="6">
        <v>1057305390081</v>
      </c>
      <c r="F204" s="7" t="s">
        <v>878</v>
      </c>
      <c r="G204" s="5" t="s">
        <v>635</v>
      </c>
      <c r="H204" s="8" t="s">
        <v>844</v>
      </c>
      <c r="I204" s="5">
        <v>268149</v>
      </c>
      <c r="J204" s="5" t="s">
        <v>720</v>
      </c>
      <c r="K204" s="5"/>
    </row>
    <row r="205" spans="1:11" ht="90">
      <c r="B205" s="5" t="s">
        <v>842</v>
      </c>
      <c r="C205" s="5" t="s">
        <v>214</v>
      </c>
      <c r="D205" s="5" t="s">
        <v>107</v>
      </c>
      <c r="E205" s="6">
        <v>1057305990119</v>
      </c>
      <c r="F205" s="11" t="s">
        <v>881</v>
      </c>
      <c r="G205" s="5" t="s">
        <v>635</v>
      </c>
      <c r="H205" s="8" t="s">
        <v>844</v>
      </c>
      <c r="I205" s="5">
        <v>268149</v>
      </c>
      <c r="J205" s="5" t="s">
        <v>720</v>
      </c>
      <c r="K205" s="5"/>
    </row>
    <row r="206" spans="1:11" ht="90">
      <c r="B206" s="5" t="s">
        <v>842</v>
      </c>
      <c r="C206" s="5" t="s">
        <v>214</v>
      </c>
      <c r="D206" s="5" t="s">
        <v>107</v>
      </c>
      <c r="E206" s="6">
        <v>1097402920072</v>
      </c>
      <c r="F206" s="7" t="s">
        <v>882</v>
      </c>
      <c r="G206" s="5" t="s">
        <v>635</v>
      </c>
      <c r="H206" s="8" t="s">
        <v>844</v>
      </c>
      <c r="I206" s="5">
        <v>268149</v>
      </c>
      <c r="J206" s="5" t="s">
        <v>720</v>
      </c>
      <c r="K206" s="5"/>
    </row>
    <row r="207" spans="1:11" ht="90">
      <c r="B207" s="5" t="s">
        <v>842</v>
      </c>
      <c r="C207" s="5" t="s">
        <v>214</v>
      </c>
      <c r="D207" s="5" t="s">
        <v>107</v>
      </c>
      <c r="E207" s="6">
        <v>1123600310044</v>
      </c>
      <c r="F207" s="11" t="s">
        <v>880</v>
      </c>
      <c r="G207" s="5" t="s">
        <v>635</v>
      </c>
      <c r="H207" s="8" t="s">
        <v>844</v>
      </c>
      <c r="I207" s="5">
        <v>268149</v>
      </c>
      <c r="J207" s="5" t="s">
        <v>720</v>
      </c>
      <c r="K207" s="5"/>
    </row>
    <row r="208" spans="1:11" ht="90">
      <c r="B208" s="5" t="s">
        <v>842</v>
      </c>
      <c r="C208" s="5" t="s">
        <v>214</v>
      </c>
      <c r="D208" s="5" t="s">
        <v>107</v>
      </c>
      <c r="E208" s="6">
        <v>1235202100031</v>
      </c>
      <c r="F208" s="7" t="s">
        <v>878</v>
      </c>
      <c r="G208" s="5" t="s">
        <v>635</v>
      </c>
      <c r="H208" s="8" t="s">
        <v>844</v>
      </c>
      <c r="I208" s="5">
        <v>268149</v>
      </c>
      <c r="J208" s="5" t="s">
        <v>720</v>
      </c>
      <c r="K208" s="5"/>
    </row>
    <row r="209" spans="1:11" ht="90">
      <c r="B209" s="5" t="s">
        <v>842</v>
      </c>
      <c r="C209" s="5" t="s">
        <v>214</v>
      </c>
      <c r="D209" s="5" t="s">
        <v>107</v>
      </c>
      <c r="E209" s="6">
        <v>1235202100147</v>
      </c>
      <c r="F209" s="11" t="s">
        <v>883</v>
      </c>
      <c r="G209" s="5" t="s">
        <v>635</v>
      </c>
      <c r="H209" s="8" t="s">
        <v>844</v>
      </c>
      <c r="I209" s="5">
        <v>268149</v>
      </c>
      <c r="J209" s="5" t="s">
        <v>720</v>
      </c>
      <c r="K209" s="5"/>
    </row>
    <row r="210" spans="1:11" ht="90">
      <c r="B210" s="5" t="s">
        <v>842</v>
      </c>
      <c r="C210" s="5" t="s">
        <v>214</v>
      </c>
      <c r="D210" s="5" t="s">
        <v>107</v>
      </c>
      <c r="E210" s="6">
        <v>1256802690177</v>
      </c>
      <c r="F210" s="7" t="s">
        <v>884</v>
      </c>
      <c r="G210" s="5" t="s">
        <v>635</v>
      </c>
      <c r="H210" s="8" t="s">
        <v>844</v>
      </c>
      <c r="I210" s="5">
        <v>268149</v>
      </c>
      <c r="J210" s="5" t="s">
        <v>720</v>
      </c>
      <c r="K210" s="5"/>
    </row>
    <row r="211" spans="1:11" ht="90">
      <c r="B211" s="5" t="s">
        <v>842</v>
      </c>
      <c r="C211" s="5" t="s">
        <v>214</v>
      </c>
      <c r="D211" s="5" t="s">
        <v>107</v>
      </c>
      <c r="E211" s="6">
        <v>1256802690193</v>
      </c>
      <c r="F211" s="11" t="s">
        <v>885</v>
      </c>
      <c r="G211" s="5" t="s">
        <v>635</v>
      </c>
      <c r="H211" s="8" t="s">
        <v>844</v>
      </c>
      <c r="I211" s="5">
        <v>268149</v>
      </c>
      <c r="J211" s="5" t="s">
        <v>720</v>
      </c>
      <c r="K211" s="5"/>
    </row>
    <row r="212" spans="1:11" ht="90">
      <c r="B212" s="5" t="s">
        <v>842</v>
      </c>
      <c r="C212" s="5" t="s">
        <v>214</v>
      </c>
      <c r="D212" s="5" t="s">
        <v>107</v>
      </c>
      <c r="E212" s="6">
        <v>1256802910134</v>
      </c>
      <c r="F212" s="7" t="s">
        <v>886</v>
      </c>
      <c r="G212" s="5" t="s">
        <v>635</v>
      </c>
      <c r="H212" s="8" t="s">
        <v>844</v>
      </c>
      <c r="I212" s="5">
        <v>268149</v>
      </c>
      <c r="J212" s="5" t="s">
        <v>720</v>
      </c>
      <c r="K212" s="5"/>
    </row>
    <row r="213" spans="1:11" ht="90">
      <c r="B213" s="5" t="s">
        <v>842</v>
      </c>
      <c r="C213" s="5" t="s">
        <v>214</v>
      </c>
      <c r="D213" s="5" t="s">
        <v>107</v>
      </c>
      <c r="E213" s="6">
        <v>1256802690177</v>
      </c>
      <c r="F213" s="11" t="s">
        <v>884</v>
      </c>
      <c r="G213" s="5" t="s">
        <v>635</v>
      </c>
      <c r="H213" s="8" t="s">
        <v>844</v>
      </c>
      <c r="I213" s="5">
        <v>268149</v>
      </c>
      <c r="J213" s="5" t="s">
        <v>720</v>
      </c>
      <c r="K213" s="5"/>
    </row>
    <row r="214" spans="1:11" ht="90">
      <c r="B214" s="5" t="s">
        <v>842</v>
      </c>
      <c r="C214" s="5" t="s">
        <v>214</v>
      </c>
      <c r="D214" s="5" t="s">
        <v>107</v>
      </c>
      <c r="E214" s="6">
        <v>1256802910193</v>
      </c>
      <c r="F214" s="7" t="s">
        <v>887</v>
      </c>
      <c r="G214" s="5" t="s">
        <v>635</v>
      </c>
      <c r="H214" s="8" t="s">
        <v>844</v>
      </c>
      <c r="I214" s="5">
        <v>268149</v>
      </c>
      <c r="J214" s="5" t="s">
        <v>720</v>
      </c>
      <c r="K214" s="5"/>
    </row>
    <row r="215" spans="1:11" ht="90">
      <c r="B215" s="5" t="s">
        <v>842</v>
      </c>
      <c r="C215" s="5" t="s">
        <v>214</v>
      </c>
      <c r="D215" s="5" t="s">
        <v>107</v>
      </c>
      <c r="E215" s="6">
        <v>1410706400079</v>
      </c>
      <c r="F215" s="11" t="s">
        <v>878</v>
      </c>
      <c r="G215" s="5" t="s">
        <v>635</v>
      </c>
      <c r="H215" s="8" t="s">
        <v>844</v>
      </c>
      <c r="I215" s="5">
        <v>268149</v>
      </c>
      <c r="J215" s="5" t="s">
        <v>720</v>
      </c>
      <c r="K215" s="5"/>
    </row>
    <row r="216" spans="1:11" ht="90">
      <c r="B216" s="5" t="s">
        <v>842</v>
      </c>
      <c r="C216" s="5" t="s">
        <v>214</v>
      </c>
      <c r="D216" s="5" t="s">
        <v>107</v>
      </c>
      <c r="E216" s="6">
        <v>1542302830068</v>
      </c>
      <c r="F216" s="7" t="s">
        <v>879</v>
      </c>
      <c r="G216" s="5" t="s">
        <v>635</v>
      </c>
      <c r="H216" s="8" t="s">
        <v>844</v>
      </c>
      <c r="I216" s="5">
        <v>268149</v>
      </c>
      <c r="J216" s="5" t="s">
        <v>720</v>
      </c>
      <c r="K216" s="5"/>
    </row>
    <row r="217" spans="1:11" ht="90">
      <c r="B217" s="5" t="s">
        <v>842</v>
      </c>
      <c r="C217" s="5" t="s">
        <v>214</v>
      </c>
      <c r="D217" s="5" t="s">
        <v>107</v>
      </c>
      <c r="E217" s="6">
        <v>1553700270076</v>
      </c>
      <c r="F217" s="11" t="s">
        <v>878</v>
      </c>
      <c r="G217" s="5" t="s">
        <v>635</v>
      </c>
      <c r="H217" s="8" t="s">
        <v>844</v>
      </c>
      <c r="I217" s="5">
        <v>268149</v>
      </c>
      <c r="J217" s="5" t="s">
        <v>720</v>
      </c>
      <c r="K217" s="5"/>
    </row>
    <row r="218" spans="1:11" ht="90">
      <c r="B218" s="5" t="s">
        <v>842</v>
      </c>
      <c r="C218" s="5" t="s">
        <v>214</v>
      </c>
      <c r="D218" s="5" t="s">
        <v>107</v>
      </c>
      <c r="E218" s="6">
        <v>1553700270084</v>
      </c>
      <c r="F218" s="7" t="s">
        <v>888</v>
      </c>
      <c r="G218" s="5" t="s">
        <v>635</v>
      </c>
      <c r="H218" s="8" t="s">
        <v>844</v>
      </c>
      <c r="I218" s="5">
        <v>268149</v>
      </c>
      <c r="J218" s="5" t="s">
        <v>720</v>
      </c>
      <c r="K218" s="5"/>
    </row>
    <row r="219" spans="1:11" ht="90">
      <c r="B219" s="5" t="s">
        <v>842</v>
      </c>
      <c r="C219" s="5" t="s">
        <v>214</v>
      </c>
      <c r="D219" s="5" t="s">
        <v>107</v>
      </c>
      <c r="E219" s="6">
        <v>1553700270076</v>
      </c>
      <c r="F219" s="11" t="s">
        <v>878</v>
      </c>
      <c r="G219" s="5" t="s">
        <v>635</v>
      </c>
      <c r="H219" s="8" t="s">
        <v>844</v>
      </c>
      <c r="I219" s="5">
        <v>268149</v>
      </c>
      <c r="J219" s="5" t="s">
        <v>720</v>
      </c>
      <c r="K219" s="5"/>
    </row>
    <row r="220" spans="1:11" ht="90">
      <c r="B220" s="5" t="s">
        <v>842</v>
      </c>
      <c r="C220" s="5" t="s">
        <v>214</v>
      </c>
      <c r="D220" s="5" t="s">
        <v>107</v>
      </c>
      <c r="E220" s="6">
        <v>1832602840052</v>
      </c>
      <c r="F220" s="7" t="s">
        <v>878</v>
      </c>
      <c r="G220" s="5" t="s">
        <v>635</v>
      </c>
      <c r="H220" s="8" t="s">
        <v>844</v>
      </c>
      <c r="I220" s="5">
        <v>268149</v>
      </c>
      <c r="J220" s="5" t="s">
        <v>720</v>
      </c>
      <c r="K220" s="5"/>
    </row>
    <row r="221" spans="1:11" ht="90">
      <c r="B221" s="5" t="s">
        <v>842</v>
      </c>
      <c r="C221" s="5" t="s">
        <v>214</v>
      </c>
      <c r="D221" s="5" t="s">
        <v>107</v>
      </c>
      <c r="E221" s="6">
        <v>1832604780022</v>
      </c>
      <c r="F221" s="11" t="s">
        <v>879</v>
      </c>
      <c r="G221" s="5" t="s">
        <v>635</v>
      </c>
      <c r="H221" s="8" t="s">
        <v>844</v>
      </c>
      <c r="I221" s="5">
        <v>268149</v>
      </c>
      <c r="J221" s="5" t="s">
        <v>720</v>
      </c>
      <c r="K221" s="5"/>
    </row>
    <row r="222" spans="1:11" ht="90">
      <c r="A222" s="1">
        <v>56</v>
      </c>
      <c r="B222" s="5" t="s">
        <v>842</v>
      </c>
      <c r="C222" s="5" t="s">
        <v>537</v>
      </c>
      <c r="D222" s="5" t="s">
        <v>107</v>
      </c>
      <c r="E222" s="6">
        <v>1004310020105</v>
      </c>
      <c r="F222" s="11" t="s">
        <v>889</v>
      </c>
      <c r="G222" s="5" t="s">
        <v>635</v>
      </c>
      <c r="H222" s="8" t="s">
        <v>844</v>
      </c>
      <c r="I222" s="5">
        <v>284105</v>
      </c>
      <c r="J222" s="5" t="s">
        <v>720</v>
      </c>
      <c r="K222" s="5" t="s">
        <v>845</v>
      </c>
    </row>
    <row r="223" spans="1:11" ht="90">
      <c r="B223" s="5" t="s">
        <v>842</v>
      </c>
      <c r="C223" s="5" t="s">
        <v>537</v>
      </c>
      <c r="D223" s="5" t="s">
        <v>107</v>
      </c>
      <c r="E223" s="6">
        <v>1004310020105</v>
      </c>
      <c r="F223" s="7" t="s">
        <v>889</v>
      </c>
      <c r="G223" s="5" t="s">
        <v>635</v>
      </c>
      <c r="H223" s="8" t="s">
        <v>844</v>
      </c>
      <c r="I223" s="5">
        <v>284105</v>
      </c>
      <c r="J223" s="5" t="s">
        <v>720</v>
      </c>
      <c r="K223" s="5"/>
    </row>
    <row r="224" spans="1:11" ht="90">
      <c r="B224" s="5" t="s">
        <v>842</v>
      </c>
      <c r="C224" s="5" t="s">
        <v>537</v>
      </c>
      <c r="D224" s="5" t="s">
        <v>107</v>
      </c>
      <c r="E224" s="6">
        <v>1004704490119</v>
      </c>
      <c r="F224" s="11" t="s">
        <v>890</v>
      </c>
      <c r="G224" s="5" t="s">
        <v>635</v>
      </c>
      <c r="H224" s="8" t="s">
        <v>844</v>
      </c>
      <c r="I224" s="5">
        <v>284105</v>
      </c>
      <c r="J224" s="5" t="s">
        <v>720</v>
      </c>
      <c r="K224" s="5"/>
    </row>
    <row r="225" spans="2:11" ht="90">
      <c r="B225" s="5" t="s">
        <v>842</v>
      </c>
      <c r="C225" s="5" t="s">
        <v>537</v>
      </c>
      <c r="D225" s="5" t="s">
        <v>107</v>
      </c>
      <c r="E225" s="6">
        <v>1004704490127</v>
      </c>
      <c r="F225" s="7" t="s">
        <v>891</v>
      </c>
      <c r="G225" s="5" t="s">
        <v>635</v>
      </c>
      <c r="H225" s="8" t="s">
        <v>844</v>
      </c>
      <c r="I225" s="5">
        <v>284105</v>
      </c>
      <c r="J225" s="5" t="s">
        <v>720</v>
      </c>
      <c r="K225" s="5"/>
    </row>
    <row r="226" spans="2:11" ht="90">
      <c r="B226" s="5" t="s">
        <v>842</v>
      </c>
      <c r="C226" s="5" t="s">
        <v>537</v>
      </c>
      <c r="D226" s="5" t="s">
        <v>107</v>
      </c>
      <c r="E226" s="6">
        <v>1006302790106</v>
      </c>
      <c r="F226" s="11" t="s">
        <v>892</v>
      </c>
      <c r="G226" s="5" t="s">
        <v>635</v>
      </c>
      <c r="H226" s="8" t="s">
        <v>844</v>
      </c>
      <c r="I226" s="5">
        <v>284105</v>
      </c>
      <c r="J226" s="5" t="s">
        <v>720</v>
      </c>
      <c r="K226" s="5"/>
    </row>
    <row r="227" spans="2:11" ht="90">
      <c r="B227" s="5" t="s">
        <v>842</v>
      </c>
      <c r="C227" s="5" t="s">
        <v>537</v>
      </c>
      <c r="D227" s="5" t="s">
        <v>107</v>
      </c>
      <c r="E227" s="6">
        <v>1008903490081</v>
      </c>
      <c r="F227" s="7" t="s">
        <v>893</v>
      </c>
      <c r="G227" s="5" t="s">
        <v>635</v>
      </c>
      <c r="H227" s="8" t="s">
        <v>844</v>
      </c>
      <c r="I227" s="5">
        <v>284105</v>
      </c>
      <c r="J227" s="5" t="s">
        <v>720</v>
      </c>
      <c r="K227" s="5"/>
    </row>
    <row r="228" spans="2:11" ht="90">
      <c r="B228" s="5" t="s">
        <v>842</v>
      </c>
      <c r="C228" s="5" t="s">
        <v>537</v>
      </c>
      <c r="D228" s="5" t="s">
        <v>107</v>
      </c>
      <c r="E228" s="6">
        <v>1029802000065</v>
      </c>
      <c r="F228" s="11" t="s">
        <v>894</v>
      </c>
      <c r="G228" s="5" t="s">
        <v>635</v>
      </c>
      <c r="H228" s="8" t="s">
        <v>844</v>
      </c>
      <c r="I228" s="5">
        <v>284105</v>
      </c>
      <c r="J228" s="5" t="s">
        <v>720</v>
      </c>
      <c r="K228" s="5"/>
    </row>
    <row r="229" spans="2:11" ht="90">
      <c r="B229" s="5" t="s">
        <v>842</v>
      </c>
      <c r="C229" s="5" t="s">
        <v>537</v>
      </c>
      <c r="D229" s="5" t="s">
        <v>107</v>
      </c>
      <c r="E229" s="6">
        <v>1029802000103</v>
      </c>
      <c r="F229" s="7" t="s">
        <v>895</v>
      </c>
      <c r="G229" s="5" t="s">
        <v>635</v>
      </c>
      <c r="H229" s="8" t="s">
        <v>844</v>
      </c>
      <c r="I229" s="5">
        <v>284105</v>
      </c>
      <c r="J229" s="5" t="s">
        <v>720</v>
      </c>
      <c r="K229" s="5"/>
    </row>
    <row r="230" spans="2:11" ht="90">
      <c r="B230" s="5" t="s">
        <v>842</v>
      </c>
      <c r="C230" s="5" t="s">
        <v>537</v>
      </c>
      <c r="D230" s="5" t="s">
        <v>107</v>
      </c>
      <c r="E230" s="6">
        <v>1029802000138</v>
      </c>
      <c r="F230" s="11" t="s">
        <v>892</v>
      </c>
      <c r="G230" s="5" t="s">
        <v>635</v>
      </c>
      <c r="H230" s="8" t="s">
        <v>844</v>
      </c>
      <c r="I230" s="5">
        <v>284105</v>
      </c>
      <c r="J230" s="5" t="s">
        <v>720</v>
      </c>
      <c r="K230" s="5"/>
    </row>
    <row r="231" spans="2:11" ht="90">
      <c r="B231" s="5" t="s">
        <v>842</v>
      </c>
      <c r="C231" s="5" t="s">
        <v>537</v>
      </c>
      <c r="D231" s="5" t="s">
        <v>107</v>
      </c>
      <c r="E231" s="6">
        <v>1029802000189</v>
      </c>
      <c r="F231" s="7" t="s">
        <v>896</v>
      </c>
      <c r="G231" s="5" t="s">
        <v>635</v>
      </c>
      <c r="H231" s="8" t="s">
        <v>844</v>
      </c>
      <c r="I231" s="5">
        <v>284105</v>
      </c>
      <c r="J231" s="5" t="s">
        <v>720</v>
      </c>
      <c r="K231" s="5"/>
    </row>
    <row r="232" spans="2:11" ht="90">
      <c r="B232" s="5" t="s">
        <v>842</v>
      </c>
      <c r="C232" s="5" t="s">
        <v>537</v>
      </c>
      <c r="D232" s="5" t="s">
        <v>107</v>
      </c>
      <c r="E232" s="6">
        <v>1037006190116</v>
      </c>
      <c r="F232" s="11" t="s">
        <v>893</v>
      </c>
      <c r="G232" s="5" t="s">
        <v>635</v>
      </c>
      <c r="H232" s="8" t="s">
        <v>844</v>
      </c>
      <c r="I232" s="5">
        <v>284105</v>
      </c>
      <c r="J232" s="5" t="s">
        <v>720</v>
      </c>
      <c r="K232" s="5"/>
    </row>
    <row r="233" spans="2:11" ht="90">
      <c r="B233" s="5" t="s">
        <v>842</v>
      </c>
      <c r="C233" s="5" t="s">
        <v>537</v>
      </c>
      <c r="D233" s="5" t="s">
        <v>107</v>
      </c>
      <c r="E233" s="6">
        <v>1039201970113</v>
      </c>
      <c r="F233" s="7" t="s">
        <v>893</v>
      </c>
      <c r="G233" s="5" t="s">
        <v>635</v>
      </c>
      <c r="H233" s="8" t="s">
        <v>844</v>
      </c>
      <c r="I233" s="5">
        <v>284105</v>
      </c>
      <c r="J233" s="5" t="s">
        <v>720</v>
      </c>
      <c r="K233" s="5"/>
    </row>
    <row r="234" spans="2:11" ht="90">
      <c r="B234" s="5" t="s">
        <v>842</v>
      </c>
      <c r="C234" s="5" t="s">
        <v>537</v>
      </c>
      <c r="D234" s="5" t="s">
        <v>107</v>
      </c>
      <c r="E234" s="6">
        <v>1049711340097</v>
      </c>
      <c r="F234" s="11" t="s">
        <v>889</v>
      </c>
      <c r="G234" s="5" t="s">
        <v>635</v>
      </c>
      <c r="H234" s="8" t="s">
        <v>844</v>
      </c>
      <c r="I234" s="5">
        <v>284105</v>
      </c>
      <c r="J234" s="5" t="s">
        <v>720</v>
      </c>
      <c r="K234" s="5"/>
    </row>
    <row r="235" spans="2:11" ht="90">
      <c r="B235" s="5" t="s">
        <v>842</v>
      </c>
      <c r="C235" s="5" t="s">
        <v>537</v>
      </c>
      <c r="D235" s="5" t="s">
        <v>107</v>
      </c>
      <c r="E235" s="6">
        <v>1049711340097</v>
      </c>
      <c r="F235" s="7" t="s">
        <v>889</v>
      </c>
      <c r="G235" s="5" t="s">
        <v>635</v>
      </c>
      <c r="H235" s="8" t="s">
        <v>844</v>
      </c>
      <c r="I235" s="5">
        <v>284105</v>
      </c>
      <c r="J235" s="5" t="s">
        <v>720</v>
      </c>
      <c r="K235" s="5"/>
    </row>
    <row r="236" spans="2:11" ht="90">
      <c r="B236" s="5" t="s">
        <v>842</v>
      </c>
      <c r="C236" s="5" t="s">
        <v>537</v>
      </c>
      <c r="D236" s="5" t="s">
        <v>107</v>
      </c>
      <c r="E236" s="6">
        <v>1053502270108</v>
      </c>
      <c r="F236" s="11" t="s">
        <v>889</v>
      </c>
      <c r="G236" s="5" t="s">
        <v>635</v>
      </c>
      <c r="H236" s="8" t="s">
        <v>844</v>
      </c>
      <c r="I236" s="5">
        <v>284105</v>
      </c>
      <c r="J236" s="5" t="s">
        <v>720</v>
      </c>
      <c r="K236" s="5"/>
    </row>
    <row r="237" spans="2:11" ht="90">
      <c r="B237" s="5" t="s">
        <v>842</v>
      </c>
      <c r="C237" s="5" t="s">
        <v>537</v>
      </c>
      <c r="D237" s="5" t="s">
        <v>107</v>
      </c>
      <c r="E237" s="6">
        <v>1053502270108</v>
      </c>
      <c r="F237" s="7" t="s">
        <v>889</v>
      </c>
      <c r="G237" s="5" t="s">
        <v>635</v>
      </c>
      <c r="H237" s="8" t="s">
        <v>844</v>
      </c>
      <c r="I237" s="5">
        <v>284105</v>
      </c>
      <c r="J237" s="5" t="s">
        <v>720</v>
      </c>
      <c r="K237" s="5"/>
    </row>
    <row r="238" spans="2:11" ht="90">
      <c r="B238" s="5" t="s">
        <v>842</v>
      </c>
      <c r="C238" s="5" t="s">
        <v>537</v>
      </c>
      <c r="D238" s="5" t="s">
        <v>107</v>
      </c>
      <c r="E238" s="6">
        <v>1057305390121</v>
      </c>
      <c r="F238" s="11" t="s">
        <v>897</v>
      </c>
      <c r="G238" s="5" t="s">
        <v>635</v>
      </c>
      <c r="H238" s="8" t="s">
        <v>844</v>
      </c>
      <c r="I238" s="5">
        <v>284105</v>
      </c>
      <c r="J238" s="5" t="s">
        <v>720</v>
      </c>
      <c r="K238" s="5"/>
    </row>
    <row r="239" spans="2:11" ht="90">
      <c r="B239" s="5" t="s">
        <v>842</v>
      </c>
      <c r="C239" s="5" t="s">
        <v>537</v>
      </c>
      <c r="D239" s="5" t="s">
        <v>107</v>
      </c>
      <c r="E239" s="6">
        <v>1057305990089</v>
      </c>
      <c r="F239" s="7" t="s">
        <v>893</v>
      </c>
      <c r="G239" s="5" t="s">
        <v>635</v>
      </c>
      <c r="H239" s="8" t="s">
        <v>844</v>
      </c>
      <c r="I239" s="5">
        <v>284105</v>
      </c>
      <c r="J239" s="5" t="s">
        <v>720</v>
      </c>
      <c r="K239" s="5"/>
    </row>
    <row r="240" spans="2:11" ht="90">
      <c r="B240" s="5" t="s">
        <v>842</v>
      </c>
      <c r="C240" s="5" t="s">
        <v>537</v>
      </c>
      <c r="D240" s="5" t="s">
        <v>107</v>
      </c>
      <c r="E240" s="6">
        <v>1057305990127</v>
      </c>
      <c r="F240" s="11" t="s">
        <v>898</v>
      </c>
      <c r="G240" s="5" t="s">
        <v>635</v>
      </c>
      <c r="H240" s="8" t="s">
        <v>844</v>
      </c>
      <c r="I240" s="5">
        <v>284105</v>
      </c>
      <c r="J240" s="5" t="s">
        <v>720</v>
      </c>
      <c r="K240" s="5"/>
    </row>
    <row r="241" spans="1:11" ht="90">
      <c r="B241" s="5" t="s">
        <v>842</v>
      </c>
      <c r="C241" s="5" t="s">
        <v>537</v>
      </c>
      <c r="D241" s="5" t="s">
        <v>107</v>
      </c>
      <c r="E241" s="6">
        <v>1097402920110</v>
      </c>
      <c r="F241" s="7" t="s">
        <v>899</v>
      </c>
      <c r="G241" s="5" t="s">
        <v>635</v>
      </c>
      <c r="H241" s="8" t="s">
        <v>844</v>
      </c>
      <c r="I241" s="5">
        <v>284105</v>
      </c>
      <c r="J241" s="5" t="s">
        <v>720</v>
      </c>
      <c r="K241" s="5"/>
    </row>
    <row r="242" spans="1:11" ht="90">
      <c r="B242" s="5" t="s">
        <v>842</v>
      </c>
      <c r="C242" s="5" t="s">
        <v>537</v>
      </c>
      <c r="D242" s="5" t="s">
        <v>107</v>
      </c>
      <c r="E242" s="6">
        <v>1123600310079</v>
      </c>
      <c r="F242" s="11" t="s">
        <v>897</v>
      </c>
      <c r="G242" s="5" t="s">
        <v>635</v>
      </c>
      <c r="H242" s="8" t="s">
        <v>844</v>
      </c>
      <c r="I242" s="5">
        <v>284105</v>
      </c>
      <c r="J242" s="5" t="s">
        <v>720</v>
      </c>
      <c r="K242" s="5"/>
    </row>
    <row r="243" spans="1:11" ht="90">
      <c r="B243" s="5" t="s">
        <v>842</v>
      </c>
      <c r="C243" s="5" t="s">
        <v>537</v>
      </c>
      <c r="D243" s="5" t="s">
        <v>107</v>
      </c>
      <c r="E243" s="6">
        <v>1235202100112</v>
      </c>
      <c r="F243" s="7" t="s">
        <v>893</v>
      </c>
      <c r="G243" s="5" t="s">
        <v>635</v>
      </c>
      <c r="H243" s="8" t="s">
        <v>844</v>
      </c>
      <c r="I243" s="5">
        <v>284105</v>
      </c>
      <c r="J243" s="5" t="s">
        <v>720</v>
      </c>
      <c r="K243" s="5"/>
    </row>
    <row r="244" spans="1:11" ht="90">
      <c r="B244" s="5" t="s">
        <v>842</v>
      </c>
      <c r="C244" s="5" t="s">
        <v>537</v>
      </c>
      <c r="D244" s="5" t="s">
        <v>107</v>
      </c>
      <c r="E244" s="6">
        <v>1256802690290</v>
      </c>
      <c r="F244" s="11" t="s">
        <v>900</v>
      </c>
      <c r="G244" s="5" t="s">
        <v>635</v>
      </c>
      <c r="H244" s="8" t="s">
        <v>844</v>
      </c>
      <c r="I244" s="5">
        <v>284105</v>
      </c>
      <c r="J244" s="5" t="s">
        <v>720</v>
      </c>
      <c r="K244" s="5"/>
    </row>
    <row r="245" spans="1:11" ht="90">
      <c r="B245" s="5" t="s">
        <v>842</v>
      </c>
      <c r="C245" s="5" t="s">
        <v>537</v>
      </c>
      <c r="D245" s="5" t="s">
        <v>107</v>
      </c>
      <c r="E245" s="6">
        <v>1256802690312</v>
      </c>
      <c r="F245" s="7" t="s">
        <v>901</v>
      </c>
      <c r="G245" s="5" t="s">
        <v>635</v>
      </c>
      <c r="H245" s="8" t="s">
        <v>844</v>
      </c>
      <c r="I245" s="5">
        <v>284105</v>
      </c>
      <c r="J245" s="5" t="s">
        <v>720</v>
      </c>
      <c r="K245" s="5"/>
    </row>
    <row r="246" spans="1:11" ht="90">
      <c r="B246" s="5" t="s">
        <v>842</v>
      </c>
      <c r="C246" s="5" t="s">
        <v>537</v>
      </c>
      <c r="D246" s="5" t="s">
        <v>107</v>
      </c>
      <c r="E246" s="6">
        <v>1256802690290</v>
      </c>
      <c r="F246" s="11" t="s">
        <v>900</v>
      </c>
      <c r="G246" s="5" t="s">
        <v>635</v>
      </c>
      <c r="H246" s="8" t="s">
        <v>844</v>
      </c>
      <c r="I246" s="5">
        <v>284105</v>
      </c>
      <c r="J246" s="5" t="s">
        <v>720</v>
      </c>
      <c r="K246" s="5"/>
    </row>
    <row r="247" spans="1:11" ht="90">
      <c r="B247" s="5" t="s">
        <v>842</v>
      </c>
      <c r="C247" s="5" t="s">
        <v>537</v>
      </c>
      <c r="D247" s="5" t="s">
        <v>107</v>
      </c>
      <c r="E247" s="6">
        <v>1410706400117</v>
      </c>
      <c r="F247" s="7" t="s">
        <v>893</v>
      </c>
      <c r="G247" s="5" t="s">
        <v>635</v>
      </c>
      <c r="H247" s="8" t="s">
        <v>844</v>
      </c>
      <c r="I247" s="5">
        <v>284105</v>
      </c>
      <c r="J247" s="5" t="s">
        <v>720</v>
      </c>
      <c r="K247" s="5"/>
    </row>
    <row r="248" spans="1:11" ht="90">
      <c r="B248" s="5" t="s">
        <v>842</v>
      </c>
      <c r="C248" s="5" t="s">
        <v>537</v>
      </c>
      <c r="D248" s="5" t="s">
        <v>107</v>
      </c>
      <c r="E248" s="6">
        <v>1542302830106</v>
      </c>
      <c r="F248" s="11" t="s">
        <v>889</v>
      </c>
      <c r="G248" s="5" t="s">
        <v>635</v>
      </c>
      <c r="H248" s="8" t="s">
        <v>844</v>
      </c>
      <c r="I248" s="5">
        <v>284105</v>
      </c>
      <c r="J248" s="5" t="s">
        <v>720</v>
      </c>
      <c r="K248" s="5"/>
    </row>
    <row r="249" spans="1:11" ht="90">
      <c r="B249" s="5" t="s">
        <v>842</v>
      </c>
      <c r="C249" s="5" t="s">
        <v>537</v>
      </c>
      <c r="D249" s="5" t="s">
        <v>107</v>
      </c>
      <c r="E249" s="6">
        <v>1553700270114</v>
      </c>
      <c r="F249" s="7" t="s">
        <v>893</v>
      </c>
      <c r="G249" s="5" t="s">
        <v>635</v>
      </c>
      <c r="H249" s="8" t="s">
        <v>844</v>
      </c>
      <c r="I249" s="5">
        <v>284105</v>
      </c>
      <c r="J249" s="5" t="s">
        <v>720</v>
      </c>
      <c r="K249" s="5"/>
    </row>
    <row r="250" spans="1:11" ht="90">
      <c r="B250" s="5" t="s">
        <v>842</v>
      </c>
      <c r="C250" s="5" t="s">
        <v>537</v>
      </c>
      <c r="D250" s="5" t="s">
        <v>107</v>
      </c>
      <c r="E250" s="6">
        <v>1553700270122</v>
      </c>
      <c r="F250" s="11" t="s">
        <v>902</v>
      </c>
      <c r="G250" s="5" t="s">
        <v>635</v>
      </c>
      <c r="H250" s="8" t="s">
        <v>844</v>
      </c>
      <c r="I250" s="5">
        <v>284105</v>
      </c>
      <c r="J250" s="5" t="s">
        <v>720</v>
      </c>
      <c r="K250" s="5"/>
    </row>
    <row r="251" spans="1:11" ht="90">
      <c r="B251" s="5" t="s">
        <v>842</v>
      </c>
      <c r="C251" s="5" t="s">
        <v>537</v>
      </c>
      <c r="D251" s="5" t="s">
        <v>107</v>
      </c>
      <c r="E251" s="6">
        <v>1553700270114</v>
      </c>
      <c r="F251" s="7" t="s">
        <v>893</v>
      </c>
      <c r="G251" s="5" t="s">
        <v>635</v>
      </c>
      <c r="H251" s="8" t="s">
        <v>844</v>
      </c>
      <c r="I251" s="5">
        <v>284105</v>
      </c>
      <c r="J251" s="5" t="s">
        <v>720</v>
      </c>
      <c r="K251" s="5"/>
    </row>
    <row r="252" spans="1:11" ht="90">
      <c r="B252" s="5" t="s">
        <v>842</v>
      </c>
      <c r="C252" s="5" t="s">
        <v>537</v>
      </c>
      <c r="D252" s="5" t="s">
        <v>107</v>
      </c>
      <c r="E252" s="6">
        <v>1832602840087</v>
      </c>
      <c r="F252" s="11" t="s">
        <v>893</v>
      </c>
      <c r="G252" s="5" t="s">
        <v>635</v>
      </c>
      <c r="H252" s="8" t="s">
        <v>844</v>
      </c>
      <c r="I252" s="5">
        <v>284105</v>
      </c>
      <c r="J252" s="5" t="s">
        <v>720</v>
      </c>
      <c r="K252" s="5"/>
    </row>
    <row r="253" spans="1:11" ht="90">
      <c r="B253" s="5" t="s">
        <v>842</v>
      </c>
      <c r="C253" s="5" t="s">
        <v>537</v>
      </c>
      <c r="D253" s="5" t="s">
        <v>107</v>
      </c>
      <c r="E253" s="6">
        <v>1832604780030</v>
      </c>
      <c r="F253" s="7" t="s">
        <v>889</v>
      </c>
      <c r="G253" s="5" t="s">
        <v>635</v>
      </c>
      <c r="H253" s="8" t="s">
        <v>844</v>
      </c>
      <c r="I253" s="5">
        <v>284105</v>
      </c>
      <c r="J253" s="5" t="s">
        <v>720</v>
      </c>
      <c r="K253" s="5"/>
    </row>
    <row r="254" spans="1:11">
      <c r="A254" s="1">
        <v>57</v>
      </c>
      <c r="B254" s="18" t="s">
        <v>903</v>
      </c>
      <c r="C254" s="5" t="s">
        <v>210</v>
      </c>
      <c r="D254" s="5" t="s">
        <v>451</v>
      </c>
      <c r="E254" s="6">
        <v>1064601830018</v>
      </c>
      <c r="F254" s="15" t="s">
        <v>904</v>
      </c>
      <c r="G254" s="5" t="s">
        <v>635</v>
      </c>
      <c r="H254" s="14" t="s">
        <v>905</v>
      </c>
      <c r="I254" s="5">
        <v>266750</v>
      </c>
      <c r="J254" s="5" t="s">
        <v>752</v>
      </c>
      <c r="K254" s="5" t="s">
        <v>531</v>
      </c>
    </row>
    <row r="255" spans="1:11">
      <c r="B255" s="19" t="s">
        <v>903</v>
      </c>
      <c r="C255" s="5" t="s">
        <v>210</v>
      </c>
      <c r="D255" s="5" t="s">
        <v>451</v>
      </c>
      <c r="E255" s="6">
        <v>1257600340017</v>
      </c>
      <c r="F255" s="12" t="s">
        <v>906</v>
      </c>
      <c r="G255" s="5" t="s">
        <v>635</v>
      </c>
      <c r="H255" s="14" t="s">
        <v>905</v>
      </c>
      <c r="I255" s="5">
        <v>266750</v>
      </c>
      <c r="J255" s="5" t="s">
        <v>752</v>
      </c>
      <c r="K255" s="5"/>
    </row>
    <row r="256" spans="1:11">
      <c r="B256" s="18" t="s">
        <v>903</v>
      </c>
      <c r="C256" s="5" t="s">
        <v>210</v>
      </c>
      <c r="D256" s="5" t="s">
        <v>451</v>
      </c>
      <c r="E256" s="6">
        <v>1542302450028</v>
      </c>
      <c r="F256" s="15" t="s">
        <v>907</v>
      </c>
      <c r="G256" s="5" t="s">
        <v>635</v>
      </c>
      <c r="H256" s="14" t="s">
        <v>905</v>
      </c>
      <c r="I256" s="5">
        <v>266750</v>
      </c>
      <c r="J256" s="5" t="s">
        <v>752</v>
      </c>
      <c r="K256" s="5"/>
    </row>
    <row r="257" spans="1:11">
      <c r="A257" s="1">
        <v>58</v>
      </c>
      <c r="B257" s="5" t="s">
        <v>908</v>
      </c>
      <c r="C257" s="5" t="s">
        <v>264</v>
      </c>
      <c r="D257" s="5" t="s">
        <v>94</v>
      </c>
      <c r="E257" s="6">
        <v>1049714470048</v>
      </c>
      <c r="F257" s="11" t="s">
        <v>909</v>
      </c>
      <c r="G257" s="5" t="s">
        <v>635</v>
      </c>
      <c r="H257" s="14" t="s">
        <v>910</v>
      </c>
      <c r="I257" s="5">
        <v>448616</v>
      </c>
      <c r="J257" s="5" t="s">
        <v>771</v>
      </c>
      <c r="K257" s="5" t="s">
        <v>495</v>
      </c>
    </row>
    <row r="258" spans="1:11">
      <c r="B258" s="5" t="s">
        <v>908</v>
      </c>
      <c r="C258" s="5" t="s">
        <v>264</v>
      </c>
      <c r="D258" s="5" t="s">
        <v>94</v>
      </c>
      <c r="E258" s="6">
        <v>1049714470064</v>
      </c>
      <c r="F258" s="7" t="s">
        <v>911</v>
      </c>
      <c r="G258" s="5" t="s">
        <v>635</v>
      </c>
      <c r="H258" s="14" t="s">
        <v>910</v>
      </c>
      <c r="I258" s="5"/>
      <c r="J258" s="5"/>
      <c r="K258" s="5"/>
    </row>
    <row r="259" spans="1:11">
      <c r="B259" s="5" t="s">
        <v>908</v>
      </c>
      <c r="C259" s="5" t="s">
        <v>264</v>
      </c>
      <c r="D259" s="5" t="s">
        <v>94</v>
      </c>
      <c r="E259" s="6">
        <v>1152400150012</v>
      </c>
      <c r="F259" s="11" t="s">
        <v>912</v>
      </c>
      <c r="G259" s="5" t="s">
        <v>635</v>
      </c>
      <c r="H259" s="14" t="s">
        <v>910</v>
      </c>
      <c r="I259" s="5"/>
      <c r="J259" s="5"/>
      <c r="K259" s="5"/>
    </row>
    <row r="260" spans="1:11">
      <c r="B260" s="5" t="s">
        <v>908</v>
      </c>
      <c r="C260" s="5" t="s">
        <v>264</v>
      </c>
      <c r="D260" s="5" t="s">
        <v>94</v>
      </c>
      <c r="E260" s="6">
        <v>1163701380012</v>
      </c>
      <c r="F260" s="7" t="s">
        <v>913</v>
      </c>
      <c r="G260" s="5" t="s">
        <v>635</v>
      </c>
      <c r="H260" s="14" t="s">
        <v>910</v>
      </c>
      <c r="I260" s="5"/>
      <c r="J260" s="5"/>
      <c r="K260" s="5"/>
    </row>
    <row r="261" spans="1:11">
      <c r="B261" s="5" t="s">
        <v>908</v>
      </c>
      <c r="C261" s="5" t="s">
        <v>264</v>
      </c>
      <c r="D261" s="5" t="s">
        <v>94</v>
      </c>
      <c r="E261" s="6">
        <v>1163701380020</v>
      </c>
      <c r="F261" s="11" t="s">
        <v>914</v>
      </c>
      <c r="G261" s="5" t="s">
        <v>635</v>
      </c>
      <c r="H261" s="14" t="s">
        <v>910</v>
      </c>
      <c r="I261" s="5"/>
      <c r="J261" s="5"/>
      <c r="K261" s="5"/>
    </row>
    <row r="262" spans="1:11">
      <c r="B262" s="5" t="s">
        <v>908</v>
      </c>
      <c r="C262" s="5" t="s">
        <v>264</v>
      </c>
      <c r="D262" s="5" t="s">
        <v>94</v>
      </c>
      <c r="E262" s="6">
        <v>1163701380039</v>
      </c>
      <c r="F262" s="7" t="s">
        <v>915</v>
      </c>
      <c r="G262" s="5" t="s">
        <v>635</v>
      </c>
      <c r="H262" s="14" t="s">
        <v>910</v>
      </c>
      <c r="I262" s="5"/>
      <c r="J262" s="5"/>
      <c r="K262" s="5"/>
    </row>
    <row r="263" spans="1:11">
      <c r="B263" s="5" t="s">
        <v>908</v>
      </c>
      <c r="C263" s="5" t="s">
        <v>264</v>
      </c>
      <c r="D263" s="5" t="s">
        <v>94</v>
      </c>
      <c r="E263" s="6">
        <v>1163701380047</v>
      </c>
      <c r="F263" s="11" t="s">
        <v>916</v>
      </c>
      <c r="G263" s="5" t="s">
        <v>635</v>
      </c>
      <c r="H263" s="14" t="s">
        <v>910</v>
      </c>
      <c r="I263" s="5"/>
      <c r="J263" s="5"/>
      <c r="K263" s="5"/>
    </row>
    <row r="264" spans="1:11">
      <c r="B264" s="5" t="s">
        <v>908</v>
      </c>
      <c r="C264" s="5" t="s">
        <v>264</v>
      </c>
      <c r="D264" s="5" t="s">
        <v>94</v>
      </c>
      <c r="E264" s="6">
        <v>1640000130012</v>
      </c>
      <c r="F264" s="7" t="s">
        <v>917</v>
      </c>
      <c r="G264" s="5" t="s">
        <v>635</v>
      </c>
      <c r="H264" s="14" t="s">
        <v>910</v>
      </c>
      <c r="I264" s="5"/>
      <c r="J264" s="5"/>
      <c r="K264" s="5"/>
    </row>
    <row r="265" spans="1:11">
      <c r="B265" s="5" t="s">
        <v>908</v>
      </c>
      <c r="C265" s="5" t="s">
        <v>264</v>
      </c>
      <c r="D265" s="5" t="s">
        <v>94</v>
      </c>
      <c r="E265" s="6">
        <v>1640000130020</v>
      </c>
      <c r="F265" s="11" t="s">
        <v>918</v>
      </c>
      <c r="G265" s="5" t="s">
        <v>635</v>
      </c>
      <c r="H265" s="14" t="s">
        <v>910</v>
      </c>
      <c r="I265" s="5"/>
      <c r="J265" s="5"/>
      <c r="K265" s="5"/>
    </row>
    <row r="266" spans="1:11">
      <c r="B266" s="5" t="s">
        <v>908</v>
      </c>
      <c r="C266" s="5" t="s">
        <v>264</v>
      </c>
      <c r="D266" s="5" t="s">
        <v>94</v>
      </c>
      <c r="E266" s="6">
        <v>1640000130039</v>
      </c>
      <c r="F266" s="7" t="s">
        <v>919</v>
      </c>
      <c r="G266" s="5" t="s">
        <v>635</v>
      </c>
      <c r="H266" s="14" t="s">
        <v>910</v>
      </c>
      <c r="I266" s="5"/>
      <c r="J266" s="5"/>
      <c r="K266" s="5"/>
    </row>
    <row r="267" spans="1:11">
      <c r="A267" s="1">
        <v>59</v>
      </c>
      <c r="B267" s="5" t="s">
        <v>920</v>
      </c>
      <c r="C267" s="5" t="s">
        <v>159</v>
      </c>
      <c r="D267" s="5" t="s">
        <v>107</v>
      </c>
      <c r="E267" s="6">
        <v>1006811410018</v>
      </c>
      <c r="F267" s="15" t="s">
        <v>921</v>
      </c>
      <c r="G267" s="5" t="s">
        <v>635</v>
      </c>
      <c r="H267" s="20" t="s">
        <v>922</v>
      </c>
      <c r="I267" s="5">
        <v>445430</v>
      </c>
      <c r="J267" s="5" t="s">
        <v>752</v>
      </c>
      <c r="K267" s="5" t="s">
        <v>923</v>
      </c>
    </row>
    <row r="268" spans="1:11">
      <c r="B268" s="5" t="s">
        <v>920</v>
      </c>
      <c r="C268" s="5" t="s">
        <v>273</v>
      </c>
      <c r="D268" s="5" t="s">
        <v>107</v>
      </c>
      <c r="E268" s="6">
        <v>1006811410026</v>
      </c>
      <c r="F268" s="12" t="s">
        <v>924</v>
      </c>
      <c r="G268" s="5" t="s">
        <v>635</v>
      </c>
      <c r="H268" s="20" t="s">
        <v>922</v>
      </c>
      <c r="I268" s="5">
        <v>445432</v>
      </c>
      <c r="J268" s="5" t="s">
        <v>752</v>
      </c>
      <c r="K268" s="5"/>
    </row>
    <row r="269" spans="1:11">
      <c r="A269" s="1">
        <v>60</v>
      </c>
      <c r="B269" s="5" t="s">
        <v>920</v>
      </c>
      <c r="C269" s="5" t="s">
        <v>273</v>
      </c>
      <c r="D269" s="5" t="s">
        <v>107</v>
      </c>
      <c r="E269" s="6">
        <v>1006811410034</v>
      </c>
      <c r="F269" s="15" t="s">
        <v>925</v>
      </c>
      <c r="G269" s="5" t="s">
        <v>635</v>
      </c>
      <c r="H269" s="20" t="s">
        <v>922</v>
      </c>
      <c r="I269" s="5">
        <v>445432</v>
      </c>
      <c r="J269" s="5" t="s">
        <v>752</v>
      </c>
      <c r="K269" s="5" t="s">
        <v>923</v>
      </c>
    </row>
    <row r="270" spans="1:11">
      <c r="B270" s="5" t="s">
        <v>920</v>
      </c>
      <c r="C270" s="5" t="s">
        <v>319</v>
      </c>
      <c r="D270" s="5" t="s">
        <v>107</v>
      </c>
      <c r="E270" s="6">
        <v>1006811410042</v>
      </c>
      <c r="F270" s="12" t="s">
        <v>926</v>
      </c>
      <c r="G270" s="5" t="s">
        <v>635</v>
      </c>
      <c r="H270" s="20" t="s">
        <v>922</v>
      </c>
      <c r="I270" s="5">
        <v>445430</v>
      </c>
      <c r="J270" s="5" t="s">
        <v>752</v>
      </c>
      <c r="K270" s="5"/>
    </row>
    <row r="271" spans="1:11">
      <c r="A271" s="1">
        <v>61</v>
      </c>
      <c r="B271" s="5" t="s">
        <v>920</v>
      </c>
      <c r="C271" s="5" t="s">
        <v>319</v>
      </c>
      <c r="D271" s="5" t="s">
        <v>107</v>
      </c>
      <c r="E271" s="6">
        <v>1006811410050</v>
      </c>
      <c r="F271" s="15" t="s">
        <v>927</v>
      </c>
      <c r="G271" s="5" t="s">
        <v>635</v>
      </c>
      <c r="H271" s="20" t="s">
        <v>922</v>
      </c>
      <c r="I271" s="5">
        <v>445431</v>
      </c>
      <c r="J271" s="5" t="s">
        <v>752</v>
      </c>
      <c r="K271" s="5" t="s">
        <v>923</v>
      </c>
    </row>
    <row r="272" spans="1:11">
      <c r="A272" s="1">
        <v>62</v>
      </c>
      <c r="B272" s="5" t="s">
        <v>928</v>
      </c>
      <c r="C272" s="5" t="s">
        <v>929</v>
      </c>
      <c r="D272" s="5" t="s">
        <v>107</v>
      </c>
      <c r="E272" s="6">
        <v>1123634290089</v>
      </c>
      <c r="F272" s="7" t="s">
        <v>930</v>
      </c>
      <c r="G272" s="5" t="s">
        <v>635</v>
      </c>
      <c r="H272" s="14" t="s">
        <v>719</v>
      </c>
      <c r="I272" s="5">
        <v>465391</v>
      </c>
      <c r="J272" s="5" t="s">
        <v>771</v>
      </c>
      <c r="K272" s="5" t="s">
        <v>497</v>
      </c>
    </row>
    <row r="273" spans="1:11">
      <c r="A273" s="1">
        <v>63</v>
      </c>
      <c r="B273" s="5" t="s">
        <v>928</v>
      </c>
      <c r="C273" s="5" t="s">
        <v>931</v>
      </c>
      <c r="D273" s="5" t="s">
        <v>107</v>
      </c>
      <c r="E273" s="6">
        <v>1123634290021</v>
      </c>
      <c r="F273" s="7" t="s">
        <v>932</v>
      </c>
      <c r="G273" s="5" t="s">
        <v>635</v>
      </c>
      <c r="H273" s="14" t="s">
        <v>719</v>
      </c>
      <c r="I273" s="5">
        <v>465389</v>
      </c>
      <c r="J273" s="5" t="s">
        <v>771</v>
      </c>
      <c r="K273" s="5" t="s">
        <v>497</v>
      </c>
    </row>
    <row r="274" spans="1:11">
      <c r="A274" s="1">
        <v>64</v>
      </c>
      <c r="B274" s="5" t="s">
        <v>928</v>
      </c>
      <c r="C274" s="5" t="s">
        <v>933</v>
      </c>
      <c r="D274" s="5" t="s">
        <v>107</v>
      </c>
      <c r="E274" s="6">
        <v>1123634290070</v>
      </c>
      <c r="F274" s="11" t="s">
        <v>934</v>
      </c>
      <c r="G274" s="5" t="s">
        <v>635</v>
      </c>
      <c r="H274" s="14" t="s">
        <v>719</v>
      </c>
      <c r="I274" s="5">
        <v>465390</v>
      </c>
      <c r="J274" s="5" t="s">
        <v>771</v>
      </c>
      <c r="K274" s="5" t="s">
        <v>497</v>
      </c>
    </row>
    <row r="275" spans="1:11">
      <c r="A275" s="1">
        <v>65</v>
      </c>
      <c r="B275" s="5" t="s">
        <v>928</v>
      </c>
      <c r="C275" s="5" t="s">
        <v>935</v>
      </c>
      <c r="D275" s="5" t="s">
        <v>107</v>
      </c>
      <c r="E275" s="6">
        <v>1123634290062</v>
      </c>
      <c r="F275" s="7" t="s">
        <v>936</v>
      </c>
      <c r="G275" s="5" t="s">
        <v>635</v>
      </c>
      <c r="H275" s="14" t="s">
        <v>719</v>
      </c>
      <c r="I275" s="5">
        <v>464164</v>
      </c>
      <c r="J275" s="5" t="s">
        <v>771</v>
      </c>
      <c r="K275" s="5" t="s">
        <v>497</v>
      </c>
    </row>
    <row r="276" spans="1:11">
      <c r="A276" s="1">
        <v>66</v>
      </c>
      <c r="B276" s="5" t="s">
        <v>928</v>
      </c>
      <c r="C276" s="5" t="s">
        <v>937</v>
      </c>
      <c r="D276" s="5" t="s">
        <v>107</v>
      </c>
      <c r="E276" s="6">
        <v>1123634290046</v>
      </c>
      <c r="F276" s="7" t="s">
        <v>938</v>
      </c>
      <c r="G276" s="5" t="s">
        <v>635</v>
      </c>
      <c r="H276" s="14" t="s">
        <v>719</v>
      </c>
      <c r="I276" s="5">
        <v>465388</v>
      </c>
      <c r="J276" s="5" t="s">
        <v>771</v>
      </c>
      <c r="K276" s="5" t="s">
        <v>497</v>
      </c>
    </row>
    <row r="277" spans="1:11">
      <c r="B277" s="5" t="s">
        <v>928</v>
      </c>
      <c r="C277" s="5" t="s">
        <v>937</v>
      </c>
      <c r="D277" s="5" t="s">
        <v>107</v>
      </c>
      <c r="E277" s="6">
        <v>1123634290054</v>
      </c>
      <c r="F277" s="11" t="s">
        <v>939</v>
      </c>
      <c r="G277" s="5" t="s">
        <v>635</v>
      </c>
      <c r="H277" s="14" t="s">
        <v>719</v>
      </c>
      <c r="I277" s="5">
        <v>465388</v>
      </c>
      <c r="J277" s="5" t="s">
        <v>771</v>
      </c>
      <c r="K277" s="5"/>
    </row>
    <row r="278" spans="1:11">
      <c r="A278" s="1">
        <v>67</v>
      </c>
      <c r="B278" s="5" t="s">
        <v>928</v>
      </c>
      <c r="C278" s="5" t="s">
        <v>940</v>
      </c>
      <c r="D278" s="5" t="s">
        <v>107</v>
      </c>
      <c r="E278" s="6">
        <v>1123634290038</v>
      </c>
      <c r="F278" s="11" t="s">
        <v>941</v>
      </c>
      <c r="G278" s="5" t="s">
        <v>635</v>
      </c>
      <c r="H278" s="14" t="s">
        <v>719</v>
      </c>
      <c r="I278" s="5">
        <v>465385</v>
      </c>
      <c r="J278" s="5" t="s">
        <v>771</v>
      </c>
      <c r="K278" s="5" t="s">
        <v>497</v>
      </c>
    </row>
    <row r="279" spans="1:11">
      <c r="A279" s="1">
        <v>68</v>
      </c>
      <c r="B279" s="5" t="s">
        <v>928</v>
      </c>
      <c r="C279" s="5" t="s">
        <v>942</v>
      </c>
      <c r="D279" s="5" t="s">
        <v>107</v>
      </c>
      <c r="E279" s="6">
        <v>1123634290011</v>
      </c>
      <c r="F279" s="11" t="s">
        <v>943</v>
      </c>
      <c r="G279" s="5" t="s">
        <v>635</v>
      </c>
      <c r="H279" s="14" t="s">
        <v>719</v>
      </c>
      <c r="I279" s="5">
        <v>465386</v>
      </c>
      <c r="J279" s="5" t="s">
        <v>771</v>
      </c>
      <c r="K279" s="5" t="s">
        <v>497</v>
      </c>
    </row>
    <row r="280" spans="1:11">
      <c r="A280" s="1">
        <v>69</v>
      </c>
      <c r="B280" s="5" t="s">
        <v>928</v>
      </c>
      <c r="C280" s="5" t="s">
        <v>944</v>
      </c>
      <c r="D280" s="5" t="s">
        <v>107</v>
      </c>
      <c r="E280" s="6">
        <v>1123634290097</v>
      </c>
      <c r="F280" s="11" t="s">
        <v>945</v>
      </c>
      <c r="G280" s="5" t="s">
        <v>635</v>
      </c>
      <c r="H280" s="14" t="s">
        <v>719</v>
      </c>
      <c r="I280" s="5">
        <v>465387</v>
      </c>
      <c r="J280" s="5" t="s">
        <v>771</v>
      </c>
      <c r="K280" s="5" t="s">
        <v>497</v>
      </c>
    </row>
    <row r="282" spans="1:11">
      <c r="B282" s="21"/>
      <c r="C282" s="21"/>
      <c r="D282" s="21"/>
      <c r="E282" s="21"/>
      <c r="F282" s="21"/>
      <c r="G282" s="22"/>
      <c r="H282" s="22"/>
      <c r="I282" s="21"/>
      <c r="J282" s="21"/>
    </row>
    <row r="283" spans="1:11">
      <c r="B283" s="21"/>
      <c r="C283" s="21"/>
      <c r="D283" s="21"/>
      <c r="E283" s="21"/>
      <c r="F283" s="21"/>
      <c r="G283" s="22"/>
      <c r="H283" s="22"/>
      <c r="I283" s="21"/>
      <c r="J283" s="21"/>
    </row>
    <row r="284" spans="1:11">
      <c r="B284" s="21"/>
      <c r="C284" s="21"/>
      <c r="D284" s="21"/>
      <c r="E284" s="21"/>
      <c r="F284" s="21"/>
      <c r="G284" s="22"/>
      <c r="H284" s="22"/>
      <c r="I284" s="21"/>
      <c r="J284" s="21"/>
    </row>
    <row r="285" spans="1:11">
      <c r="B285" s="23" t="s">
        <v>946</v>
      </c>
      <c r="C285" s="21"/>
      <c r="D285" s="21"/>
      <c r="E285" s="21"/>
      <c r="F285" s="21"/>
      <c r="G285" s="22"/>
      <c r="H285" s="22"/>
      <c r="I285" s="21"/>
      <c r="J285" s="21"/>
    </row>
    <row r="286" spans="1:11">
      <c r="B286" s="23" t="s">
        <v>947</v>
      </c>
      <c r="C286" s="21"/>
      <c r="D286" s="21"/>
      <c r="E286" s="21"/>
      <c r="F286" s="21"/>
      <c r="G286" s="22"/>
      <c r="H286" s="22"/>
      <c r="I286" s="21"/>
      <c r="J286" s="21"/>
    </row>
    <row r="287" spans="1:11">
      <c r="B287" s="23" t="s">
        <v>948</v>
      </c>
      <c r="C287" s="21"/>
      <c r="D287" s="21"/>
      <c r="E287" s="21"/>
      <c r="F287" s="21"/>
      <c r="G287" s="22"/>
      <c r="H287" s="22"/>
      <c r="I287" s="21"/>
      <c r="J287" s="21"/>
    </row>
    <row r="288" spans="1:11">
      <c r="B288" s="23" t="s">
        <v>949</v>
      </c>
      <c r="C288" s="21"/>
      <c r="D288" s="21"/>
      <c r="E288" s="21"/>
      <c r="F288" s="21"/>
      <c r="G288" s="22"/>
      <c r="H288" s="22"/>
      <c r="I288" s="21"/>
      <c r="J288" s="21"/>
    </row>
    <row r="289" spans="2:10">
      <c r="B289" s="23" t="s">
        <v>950</v>
      </c>
      <c r="C289" s="21"/>
      <c r="D289" s="21"/>
      <c r="E289" s="21"/>
      <c r="F289" s="21"/>
      <c r="G289" s="22"/>
      <c r="H289" s="22"/>
      <c r="I289" s="21"/>
      <c r="J289" s="21"/>
    </row>
    <row r="290" spans="2:10">
      <c r="B290" s="23" t="s">
        <v>951</v>
      </c>
    </row>
    <row r="291" spans="2:10">
      <c r="B291" s="23" t="s">
        <v>952</v>
      </c>
    </row>
    <row r="292" spans="2:10">
      <c r="B292" s="23" t="s">
        <v>953</v>
      </c>
    </row>
    <row r="293" spans="2:10">
      <c r="B293" s="23" t="s">
        <v>954</v>
      </c>
    </row>
    <row r="294" spans="2:10">
      <c r="B294" s="23" t="s">
        <v>955</v>
      </c>
    </row>
    <row r="295" spans="2:10">
      <c r="B295" s="23" t="s">
        <v>956</v>
      </c>
    </row>
    <row r="296" spans="2:10">
      <c r="B296" s="23" t="s">
        <v>957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0AA872B6DE2D438E3E2E9538D632B1" ma:contentTypeVersion="10" ma:contentTypeDescription="Crie um novo documento." ma:contentTypeScope="" ma:versionID="80aa4b07a7177ecc6bb4841ee70c6827">
  <xsd:schema xmlns:xsd="http://www.w3.org/2001/XMLSchema" xmlns:xs="http://www.w3.org/2001/XMLSchema" xmlns:p="http://schemas.microsoft.com/office/2006/metadata/properties" xmlns:ns2="e859dac8-b57b-4aa3-9489-791b09927c2b" xmlns:ns3="a1cc774f-9860-413c-b670-a17657a59002" targetNamespace="http://schemas.microsoft.com/office/2006/metadata/properties" ma:root="true" ma:fieldsID="744d87447fc338a59564ddeb86a2aec2" ns2:_="" ns3:_="">
    <xsd:import namespace="e859dac8-b57b-4aa3-9489-791b09927c2b"/>
    <xsd:import namespace="a1cc774f-9860-413c-b670-a17657a590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9dac8-b57b-4aa3-9489-791b09927c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8562b07-c12b-440e-8652-dcaac954a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cc774f-9860-413c-b670-a17657a5900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c36242e-d170-4597-b4cf-9212218e4dbd}" ma:internalName="TaxCatchAll" ma:showField="CatchAllData" ma:web="a1cc774f-9860-413c-b670-a17657a590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59dac8-b57b-4aa3-9489-791b09927c2b">
      <Terms xmlns="http://schemas.microsoft.com/office/infopath/2007/PartnerControls"/>
    </lcf76f155ced4ddcb4097134ff3c332f>
    <TaxCatchAll xmlns="a1cc774f-9860-413c-b670-a17657a5900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3FDCBB-0E72-4329-BA38-74045ED1C727}"/>
</file>

<file path=customXml/itemProps2.xml><?xml version="1.0" encoding="utf-8"?>
<ds:datastoreItem xmlns:ds="http://schemas.openxmlformats.org/officeDocument/2006/customXml" ds:itemID="{D136023B-C01D-4A16-9B3A-FFDD0CAD9AC1}"/>
</file>

<file path=customXml/itemProps3.xml><?xml version="1.0" encoding="utf-8"?>
<ds:datastoreItem xmlns:ds="http://schemas.openxmlformats.org/officeDocument/2006/customXml" ds:itemID="{2C2876B5-2867-454F-BF5D-9A5DA77683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Wendell Rodrigues Oliveira da Silva</dc:creator>
  <cp:keywords/>
  <dc:description/>
  <cp:lastModifiedBy/>
  <cp:revision/>
  <dcterms:created xsi:type="dcterms:W3CDTF">2025-10-07T13:54:50Z</dcterms:created>
  <dcterms:modified xsi:type="dcterms:W3CDTF">2025-12-02T12:27:49Z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0x010100220AA872B6DE2D438E3E2E9538D632B1</vt:lpwstr>
  </property>
</Properties>
</file>